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_Data" sheetId="1" r:id="rId5"/>
    <sheet state="visible" name="Vendor_Expenses" sheetId="2" r:id="rId6"/>
    <sheet state="visible" name="Dashboard" sheetId="3" r:id="rId7"/>
    <sheet state="visible" name="Compliance_Calendar" sheetId="4" r:id="rId8"/>
    <sheet state="visible" name="Fund_Waterfall" sheetId="5" r:id="rId9"/>
  </sheets>
  <definedNames>
    <definedName name="BURN">'P&amp;L_Data'!$J$2:$J$25</definedName>
    <definedName name="REVENUE">'P&amp;L_Data'!$B$2:$B$25</definedName>
  </definedNames>
  <calcPr/>
</workbook>
</file>

<file path=xl/sharedStrings.xml><?xml version="1.0" encoding="utf-8"?>
<sst xmlns="http://schemas.openxmlformats.org/spreadsheetml/2006/main" count="531" uniqueCount="264">
  <si>
    <t>Month</t>
  </si>
  <si>
    <t>Revenue</t>
  </si>
  <si>
    <t>COGS</t>
  </si>
  <si>
    <t>OpEx</t>
  </si>
  <si>
    <t>Cash_in</t>
  </si>
  <si>
    <t>Cash_out</t>
  </si>
  <si>
    <t>Gross Profit</t>
  </si>
  <si>
    <t xml:space="preserve">Gross Margin % </t>
  </si>
  <si>
    <t>Net Profit</t>
  </si>
  <si>
    <t>Monthly Burn</t>
  </si>
  <si>
    <t>Cumulative Cash</t>
  </si>
  <si>
    <t>Starting Cash</t>
  </si>
  <si>
    <t>Operating Expenses:</t>
  </si>
  <si>
    <t>Payroll</t>
  </si>
  <si>
    <t>Marketing</t>
  </si>
  <si>
    <t>Vendor Expenses</t>
  </si>
  <si>
    <t>Other OPEX</t>
  </si>
  <si>
    <t>EBITDA</t>
  </si>
  <si>
    <t>Taxes</t>
  </si>
  <si>
    <t>used 21% since the tax is not specified</t>
  </si>
  <si>
    <t>Net Income</t>
  </si>
  <si>
    <t>Vendor</t>
  </si>
  <si>
    <t>Description</t>
  </si>
  <si>
    <t>Fixed/Variable</t>
  </si>
  <si>
    <t>Core/Discretionary</t>
  </si>
  <si>
    <t>% of Total Spend</t>
  </si>
  <si>
    <t>Cut Flag</t>
  </si>
  <si>
    <t>Eliminable Spend</t>
  </si>
  <si>
    <t>If vendor discretionary, amount is eliminable</t>
  </si>
  <si>
    <t>OpenAI</t>
  </si>
  <si>
    <t>AI compute for 100x</t>
  </si>
  <si>
    <t>Monthly_Amount</t>
  </si>
  <si>
    <t>Variable</t>
  </si>
  <si>
    <t>Core</t>
  </si>
  <si>
    <t>If core, eliminable = 0</t>
  </si>
  <si>
    <t>AWS</t>
  </si>
  <si>
    <t>Cloud hosting</t>
  </si>
  <si>
    <t>GCP</t>
  </si>
  <si>
    <t>Backup cloud provider</t>
  </si>
  <si>
    <t>Fixed</t>
  </si>
  <si>
    <t>Azure</t>
  </si>
  <si>
    <t>Redundancy cloud zone</t>
  </si>
  <si>
    <t>Snowflake</t>
  </si>
  <si>
    <t>Data warehouse</t>
  </si>
  <si>
    <t>Databricks</t>
  </si>
  <si>
    <t>ML pipelines</t>
  </si>
  <si>
    <t>Slack</t>
  </si>
  <si>
    <t>Team comms</t>
  </si>
  <si>
    <t>Zoom</t>
  </si>
  <si>
    <t>Licences &amp; webinars</t>
  </si>
  <si>
    <t>Discretionay</t>
  </si>
  <si>
    <t>Notion</t>
  </si>
  <si>
    <t>Knowledge base</t>
  </si>
  <si>
    <t>Airtable</t>
  </si>
  <si>
    <t>Ops database</t>
  </si>
  <si>
    <t>QuickBooks</t>
  </si>
  <si>
    <t>Accounting software</t>
  </si>
  <si>
    <t>Stripe Fees</t>
  </si>
  <si>
    <t>Payment processing</t>
  </si>
  <si>
    <t>Mercury Bank Fees</t>
  </si>
  <si>
    <t>Wire &amp; FX fees</t>
  </si>
  <si>
    <t>Ramp Card Fees</t>
  </si>
  <si>
    <t>Corporate cards</t>
  </si>
  <si>
    <t>Rippling Payroll</t>
  </si>
  <si>
    <t>HR &amp; benefits</t>
  </si>
  <si>
    <t>Carta</t>
  </si>
  <si>
    <t>Cap‑table mgmt</t>
  </si>
  <si>
    <t>Zendesk</t>
  </si>
  <si>
    <t>Support desk</t>
  </si>
  <si>
    <t>HubSpot</t>
  </si>
  <si>
    <t>CRM starter</t>
  </si>
  <si>
    <t>Salesforce</t>
  </si>
  <si>
    <t>Enterprise CRM</t>
  </si>
  <si>
    <t>LinkedIn Ads</t>
  </si>
  <si>
    <t>Talent ads</t>
  </si>
  <si>
    <t>Google Ads</t>
  </si>
  <si>
    <t>Search marketing</t>
  </si>
  <si>
    <t>Facebook Ads</t>
  </si>
  <si>
    <t>Social ads</t>
  </si>
  <si>
    <t>Recruiter Fees</t>
  </si>
  <si>
    <t>Contingent search</t>
  </si>
  <si>
    <t>Legal Counsel</t>
  </si>
  <si>
    <t>Corporate counsel</t>
  </si>
  <si>
    <t>Tax Consultant</t>
  </si>
  <si>
    <t>US &amp; India returns</t>
  </si>
  <si>
    <t>Insurance</t>
  </si>
  <si>
    <t>General liability</t>
  </si>
  <si>
    <t>WeWork</t>
  </si>
  <si>
    <t>Flex office</t>
  </si>
  <si>
    <t>AWS Reserved Instances</t>
  </si>
  <si>
    <t>Pre‑paid compute</t>
  </si>
  <si>
    <t>GitHub</t>
  </si>
  <si>
    <t>Repo hosting</t>
  </si>
  <si>
    <t>Figma</t>
  </si>
  <si>
    <t>Product design</t>
  </si>
  <si>
    <t>Total Spend</t>
  </si>
  <si>
    <t>Core Spend</t>
  </si>
  <si>
    <t>Discretionary</t>
  </si>
  <si>
    <t>Eliminable</t>
  </si>
  <si>
    <t>Total Revenue</t>
  </si>
  <si>
    <t>Total COGS</t>
  </si>
  <si>
    <t>Total OpEx</t>
  </si>
  <si>
    <t>Key Metrics</t>
  </si>
  <si>
    <t>Total Net Profit</t>
  </si>
  <si>
    <t>Ending Cash</t>
  </si>
  <si>
    <t>Cash On Hand</t>
  </si>
  <si>
    <t>Total Cash In</t>
  </si>
  <si>
    <t>Total Cash Out</t>
  </si>
  <si>
    <t>Liquidity Bridge Inputs</t>
  </si>
  <si>
    <t>Net Cash Change</t>
  </si>
  <si>
    <t>Average Monthly Burn</t>
  </si>
  <si>
    <t>Current Cash</t>
  </si>
  <si>
    <t>Runway</t>
  </si>
  <si>
    <t>Runway (Months)</t>
  </si>
  <si>
    <t>Jurisdiction</t>
  </si>
  <si>
    <t>Legal Entity</t>
  </si>
  <si>
    <t>Filing</t>
  </si>
  <si>
    <t>Reason</t>
  </si>
  <si>
    <t>Frequency</t>
  </si>
  <si>
    <t>Due Date</t>
  </si>
  <si>
    <t>Risk Level</t>
  </si>
  <si>
    <t>Status</t>
  </si>
  <si>
    <t>US</t>
  </si>
  <si>
    <t>C-Corp</t>
  </si>
  <si>
    <t>Form 941 payroll</t>
  </si>
  <si>
    <t>Federal payroll filing</t>
  </si>
  <si>
    <t>Quarterly</t>
  </si>
  <si>
    <t>04/30/2024</t>
  </si>
  <si>
    <t>🟡 Medium</t>
  </si>
  <si>
    <t>✅ Upcoming</t>
  </si>
  <si>
    <t>Form 1120</t>
  </si>
  <si>
    <t>Annual corporate income tax return</t>
  </si>
  <si>
    <t>Annually</t>
  </si>
  <si>
    <t>04/15/2025</t>
  </si>
  <si>
    <t>🔴 High</t>
  </si>
  <si>
    <t>LP</t>
  </si>
  <si>
    <t>Send Annual K-1s</t>
  </si>
  <si>
    <t>Tax statement for partners</t>
  </si>
  <si>
    <t>03/15/2025</t>
  </si>
  <si>
    <t>India</t>
  </si>
  <si>
    <t>Pvt. Ltd.</t>
  </si>
  <si>
    <t>GST-3B</t>
  </si>
  <si>
    <t>Monthly GST return</t>
  </si>
  <si>
    <t>Monthly</t>
  </si>
  <si>
    <t>07/20/2025</t>
  </si>
  <si>
    <t>TDS Return (Form 26Q)</t>
  </si>
  <si>
    <t>Quarterly tax deducted at source filing</t>
  </si>
  <si>
    <t>07/31/2025</t>
  </si>
  <si>
    <t>ROC Annual Filing (AOC-4 &amp; MGT-7)</t>
  </si>
  <si>
    <t>Registrar of Companies compliance</t>
  </si>
  <si>
    <t>10/30/2025</t>
  </si>
  <si>
    <t>Delaware Franchise Tax</t>
  </si>
  <si>
    <t>Franchise tax due to Delaware</t>
  </si>
  <si>
    <t>🟢 Low</t>
  </si>
  <si>
    <t>Form 3CD Tax Audit Report</t>
  </si>
  <si>
    <t>Tax audit submission</t>
  </si>
  <si>
    <t>09/30/2025</t>
  </si>
  <si>
    <t>Form W-2 Filing</t>
  </si>
  <si>
    <t>Wage statements for employees</t>
  </si>
  <si>
    <t>01/31/2025</t>
  </si>
  <si>
    <t>Form W-3 Summary</t>
  </si>
  <si>
    <t>W-2 summary submission</t>
  </si>
  <si>
    <t>Form 1099-NEC Filing</t>
  </si>
  <si>
    <t>Contractor payments reporting</t>
  </si>
  <si>
    <t>⚠️ Due Soon</t>
  </si>
  <si>
    <t>Form 1099-MISC Filing</t>
  </si>
  <si>
    <t>Misc vendor payment reporting</t>
  </si>
  <si>
    <t>02/28/2025</t>
  </si>
  <si>
    <t>State Annual Report</t>
  </si>
  <si>
    <t>Maintain state good standing</t>
  </si>
  <si>
    <t>Registered Agent Renewal</t>
  </si>
  <si>
    <t>Maintain registered agent</t>
  </si>
  <si>
    <t>12/31/2025</t>
  </si>
  <si>
    <t>Form 940 (FUTA)</t>
  </si>
  <si>
    <t>Federal unemployment tax</t>
  </si>
  <si>
    <t>Monthly Sales Tax Return</t>
  </si>
  <si>
    <t>Sales tax compliance</t>
  </si>
  <si>
    <t>02/20/2025</t>
  </si>
  <si>
    <t>Form 1065 Partnership Return</t>
  </si>
  <si>
    <t>Annual partnership tax return</t>
  </si>
  <si>
    <t>State LP Annual Renewal</t>
  </si>
  <si>
    <t>Maintain state LP registration</t>
  </si>
  <si>
    <t>State Franchise/Partnership Tax</t>
  </si>
  <si>
    <t>State-level partnership tax</t>
  </si>
  <si>
    <t>Form 8865 Filing</t>
  </si>
  <si>
    <t>Foreign partnership reporting</t>
  </si>
  <si>
    <t>EPF Monthly Payment</t>
  </si>
  <si>
    <t>Employee provident fund payment</t>
  </si>
  <si>
    <t>ESIC Monthly Return</t>
  </si>
  <si>
    <t>Employee state insurance filing</t>
  </si>
  <si>
    <t>Professional Tax Return</t>
  </si>
  <si>
    <t>Monthly PT filing</t>
  </si>
  <si>
    <t>GSTR-9 Annual Return</t>
  </si>
  <si>
    <t>GST annual compliance</t>
  </si>
  <si>
    <t>GSTR-9C Audit Report</t>
  </si>
  <si>
    <t>GST audit reconciliation</t>
  </si>
  <si>
    <t>❌ Missed</t>
  </si>
  <si>
    <t>Form 16A TDS Certificates</t>
  </si>
  <si>
    <t>TDS certificates to vendors</t>
  </si>
  <si>
    <t>DIR-3 KYC</t>
  </si>
  <si>
    <t>Director KYC filing</t>
  </si>
  <si>
    <t>Form 3CEB</t>
  </si>
  <si>
    <t>Transfer pricing report</t>
  </si>
  <si>
    <t>FEMA Annual Return</t>
  </si>
  <si>
    <t>Foreign investment reporting</t>
  </si>
  <si>
    <t>Equalization Levy Return</t>
  </si>
  <si>
    <t>Levy on cross-border digital services</t>
  </si>
  <si>
    <t>MSME Form-1</t>
  </si>
  <si>
    <t>Half-yearly MSME dues reporting</t>
  </si>
  <si>
    <t>Semi-Annual</t>
  </si>
  <si>
    <t>Board Meeting Minutes Filing</t>
  </si>
  <si>
    <t>Quarterly board minutes filing</t>
  </si>
  <si>
    <t>MGT-14 Filing</t>
  </si>
  <si>
    <t>File special resolutions with ROC</t>
  </si>
  <si>
    <t>Event-based</t>
  </si>
  <si>
    <t>Committed Capital</t>
  </si>
  <si>
    <t>GP Commit %</t>
  </si>
  <si>
    <t>Management Fee %</t>
  </si>
  <si>
    <t>Fee Basis</t>
  </si>
  <si>
    <t>Committed</t>
  </si>
  <si>
    <t>Deferred Fee %</t>
  </si>
  <si>
    <t>Deferred Interest</t>
  </si>
  <si>
    <t>Hurdle</t>
  </si>
  <si>
    <t>GP Carry</t>
  </si>
  <si>
    <t>LP Carry</t>
  </si>
  <si>
    <t>Capital Calls Table</t>
  </si>
  <si>
    <t>Yearly NAV</t>
  </si>
  <si>
    <t>Year</t>
  </si>
  <si>
    <t>Capital Call</t>
  </si>
  <si>
    <t>Date</t>
  </si>
  <si>
    <t>Quarterly Mgmt Fee</t>
  </si>
  <si>
    <t>Deferred Fee</t>
  </si>
  <si>
    <t>Deferred Fee Interest</t>
  </si>
  <si>
    <t>Total Fee Charged</t>
  </si>
  <si>
    <t>Perf %</t>
  </si>
  <si>
    <t>Start NAV</t>
  </si>
  <si>
    <t>End NAV</t>
  </si>
  <si>
    <t>Formula/Value</t>
  </si>
  <si>
    <t>Cash Flow</t>
  </si>
  <si>
    <t>LP Paid-In Capital</t>
  </si>
  <si>
    <t>Total Distributable Cash</t>
  </si>
  <si>
    <t>Return of Capital</t>
  </si>
  <si>
    <t>Excess Cash After Capital Return</t>
  </si>
  <si>
    <t>Hurdle Amount</t>
  </si>
  <si>
    <t>Hurdle Paid</t>
  </si>
  <si>
    <t>Post-Hurdle Residual</t>
  </si>
  <si>
    <t>GP Carry (20%)</t>
  </si>
  <si>
    <t>LP Carry (80%)</t>
  </si>
  <si>
    <t>DPI</t>
  </si>
  <si>
    <t>TVPI</t>
  </si>
  <si>
    <t>MOIC</t>
  </si>
  <si>
    <t xml:space="preserve">Gross IRR </t>
  </si>
  <si>
    <t>Cov(Fund,Market0/Var(Market)</t>
  </si>
  <si>
    <t xml:space="preserve">Beta (β) </t>
  </si>
  <si>
    <t>VaR 95%</t>
  </si>
  <si>
    <t>Sharpe Ratio</t>
  </si>
  <si>
    <t>Daily Dates</t>
  </si>
  <si>
    <t>Daily Fund NAV</t>
  </si>
  <si>
    <t>Daily Fund Returns</t>
  </si>
  <si>
    <t>S&amp;P500 Close</t>
  </si>
  <si>
    <t>S&amp;P Daily Return</t>
  </si>
  <si>
    <t>SOFR Daily Rate %</t>
  </si>
  <si>
    <t>SOFR Daily Return</t>
  </si>
  <si>
    <r>
      <rPr>
        <rFont val="Calibri"/>
        <color theme="1"/>
        <sz val="11.0"/>
      </rPr>
      <t xml:space="preserve">CLEAN S&amp;P CLOSE </t>
    </r>
    <r>
      <rPr>
        <rFont val="Calibri"/>
        <i/>
        <color theme="1"/>
        <sz val="11.0"/>
      </rPr>
      <t>(personal use)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</si>
</sst>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dd/mm/yyyy"/>
    <numFmt numFmtId="166" formatCode="d/m/yyyy"/>
    <numFmt numFmtId="167" formatCode="dd/MM/yyyy"/>
  </numFmts>
  <fonts count="9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FF0000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sz val="11.0"/>
      <color rgb="FF000000"/>
      <name val="Inte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Fill="1" applyFont="1"/>
    <xf borderId="0" fillId="0" fontId="3" numFmtId="164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4" numFmtId="0" xfId="0" applyFont="1"/>
    <xf borderId="0" fillId="3" fontId="4" numFmtId="0" xfId="0" applyAlignment="1" applyFill="1" applyFont="1">
      <alignment readingOrder="0"/>
    </xf>
    <xf borderId="0" fillId="3" fontId="4" numFmtId="0" xfId="0" applyFont="1"/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4" numFmtId="0" xfId="0" applyFont="1"/>
    <xf borderId="0" fillId="4" fontId="2" numFmtId="164" xfId="0" applyFont="1" applyNumberFormat="1"/>
    <xf borderId="0" fillId="4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5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3" fontId="2" numFmtId="10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6" fontId="7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readingOrder="0"/>
    </xf>
    <xf borderId="0" fillId="3" fontId="4" numFmtId="10" xfId="0" applyAlignment="1" applyFont="1" applyNumberFormat="1">
      <alignment horizontal="center" readingOrder="0"/>
    </xf>
    <xf borderId="0" fillId="3" fontId="4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6" fontId="7" numFmtId="0" xfId="0" applyAlignment="1" applyFont="1">
      <alignment horizontal="left" readingOrder="0"/>
    </xf>
    <xf borderId="0" fillId="3" fontId="8" numFmtId="0" xfId="0" applyAlignment="1" applyFont="1">
      <alignment horizontal="right" readingOrder="0" shrinkToFit="0" wrapText="1"/>
    </xf>
    <xf borderId="0" fillId="3" fontId="2" numFmtId="0" xfId="0" applyAlignment="1" applyFont="1">
      <alignment horizontal="right"/>
    </xf>
    <xf borderId="0" fillId="0" fontId="4" numFmtId="10" xfId="0" applyAlignment="1" applyFont="1" applyNumberFormat="1">
      <alignment horizontal="left"/>
    </xf>
    <xf borderId="0" fillId="4" fontId="6" numFmtId="0" xfId="0" applyAlignment="1" applyFont="1">
      <alignment horizontal="left" readingOrder="0"/>
    </xf>
    <xf borderId="0" fillId="4" fontId="7" numFmtId="0" xfId="0" applyAlignment="1" applyFont="1">
      <alignment horizontal="left"/>
    </xf>
    <xf borderId="0" fillId="7" fontId="7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shrinkToFit="0" wrapText="1"/>
    </xf>
    <xf borderId="0" fillId="0" fontId="3" numFmtId="165" xfId="0" applyAlignment="1" applyFont="1" applyNumberFormat="1">
      <alignment horizontal="right" readingOrder="0" shrinkToFit="0" wrapText="1"/>
    </xf>
    <xf borderId="0" fillId="0" fontId="4" numFmtId="0" xfId="0" applyAlignment="1" applyFont="1">
      <alignment horizontal="right" readingOrder="0"/>
    </xf>
    <xf borderId="0" fillId="0" fontId="4" numFmtId="165" xfId="0" applyAlignment="1" applyFont="1" applyNumberFormat="1">
      <alignment horizontal="right" readingOrder="0"/>
    </xf>
    <xf borderId="0" fillId="0" fontId="4" numFmtId="166" xfId="0" applyAlignment="1" applyFont="1" applyNumberFormat="1">
      <alignment horizontal="right" readingOrder="0"/>
    </xf>
    <xf borderId="0" fillId="0" fontId="4" numFmtId="0" xfId="0" applyAlignment="1" applyFont="1">
      <alignment horizontal="right"/>
    </xf>
    <xf borderId="0" fillId="0" fontId="4" numFmtId="9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7" xfId="0" applyAlignment="1" applyFont="1" applyNumberFormat="1">
      <alignment horizontal="right" readingOrder="0"/>
    </xf>
    <xf borderId="0" fillId="0" fontId="4" numFmtId="10" xfId="0" applyFont="1" applyNumberFormat="1"/>
    <xf borderId="0" fillId="0" fontId="1" numFmtId="0" xfId="0" applyAlignment="1" applyFont="1">
      <alignment readingOrder="0" shrinkToFit="0" vertical="bottom" wrapText="0"/>
    </xf>
    <xf borderId="0" fillId="7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165" xfId="0" applyFont="1" applyNumberFormat="1"/>
  </cellXfs>
  <cellStyles count="1">
    <cellStyle xfId="0" name="Normal" builtinId="0"/>
  </cellStyles>
  <dxfs count="3"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00FF00"/>
          <bgColor rgb="FF00FF00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8" max="8" width="13.38"/>
    <col customWidth="1" min="11" max="11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3" t="s">
        <v>11</v>
      </c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45292.0</v>
      </c>
      <c r="B2" s="7">
        <v>157500.0</v>
      </c>
      <c r="C2" s="7">
        <v>47250.0</v>
      </c>
      <c r="D2" s="7">
        <v>90000.0</v>
      </c>
      <c r="E2" s="7">
        <v>157500.0</v>
      </c>
      <c r="F2" s="7">
        <v>137250.0</v>
      </c>
      <c r="G2" s="8">
        <f t="shared" ref="G2:G26" si="1">B2-C2</f>
        <v>110250</v>
      </c>
      <c r="H2" s="8">
        <f t="shared" ref="H2:H25" si="2">IF(B2=0,0,(B2-C2)/B2)</f>
        <v>0.7</v>
      </c>
      <c r="I2" s="8">
        <f t="shared" ref="I2:I25" si="3">B2-C2-D2</f>
        <v>20250</v>
      </c>
      <c r="J2" s="8">
        <f t="shared" ref="J2:J25" si="4">F2-E2</f>
        <v>-20250</v>
      </c>
      <c r="K2" s="8">
        <f>$N$1 + J2</f>
        <v>-20250</v>
      </c>
      <c r="L2" s="9"/>
      <c r="M2" s="10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>
        <v>45323.0</v>
      </c>
      <c r="B3" s="7">
        <v>157500.0</v>
      </c>
      <c r="C3" s="7">
        <v>49612.5</v>
      </c>
      <c r="D3" s="7">
        <v>91800.0</v>
      </c>
      <c r="E3" s="7">
        <v>165375.0</v>
      </c>
      <c r="F3" s="7">
        <v>141412.5</v>
      </c>
      <c r="G3" s="8">
        <f t="shared" si="1"/>
        <v>107887.5</v>
      </c>
      <c r="H3" s="8">
        <f t="shared" si="2"/>
        <v>0.685</v>
      </c>
      <c r="I3" s="8">
        <f t="shared" si="3"/>
        <v>16087.5</v>
      </c>
      <c r="J3" s="8">
        <f t="shared" si="4"/>
        <v>-23962.5</v>
      </c>
      <c r="K3" s="8">
        <f t="shared" ref="K3:K25" si="5">K2+J3</f>
        <v>-44212.5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>
        <v>45352.0</v>
      </c>
      <c r="B4" s="7">
        <v>157500.0</v>
      </c>
      <c r="C4" s="7">
        <v>52093.12</v>
      </c>
      <c r="D4" s="7">
        <v>93600.0</v>
      </c>
      <c r="E4" s="7">
        <v>173643.75</v>
      </c>
      <c r="F4" s="7">
        <v>145693.12</v>
      </c>
      <c r="G4" s="8">
        <f t="shared" si="1"/>
        <v>105406.88</v>
      </c>
      <c r="H4" s="8">
        <f t="shared" si="2"/>
        <v>0.6692500317</v>
      </c>
      <c r="I4" s="8">
        <f t="shared" si="3"/>
        <v>11806.88</v>
      </c>
      <c r="J4" s="8">
        <f t="shared" si="4"/>
        <v>-27950.63</v>
      </c>
      <c r="K4" s="8">
        <f t="shared" si="5"/>
        <v>-72163.13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>
        <v>45383.0</v>
      </c>
      <c r="B5" s="7">
        <v>157500.0</v>
      </c>
      <c r="C5" s="7">
        <v>54697.78</v>
      </c>
      <c r="D5" s="7">
        <v>95400.0</v>
      </c>
      <c r="E5" s="7">
        <v>182325.94</v>
      </c>
      <c r="F5" s="7">
        <v>150097.78</v>
      </c>
      <c r="G5" s="8">
        <f t="shared" si="1"/>
        <v>102802.22</v>
      </c>
      <c r="H5" s="8">
        <f t="shared" si="2"/>
        <v>0.6527125079</v>
      </c>
      <c r="I5" s="8">
        <f t="shared" si="3"/>
        <v>7402.22</v>
      </c>
      <c r="J5" s="8">
        <f t="shared" si="4"/>
        <v>-32228.16</v>
      </c>
      <c r="K5" s="8">
        <f t="shared" si="5"/>
        <v>-104391.29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>
        <v>45413.0</v>
      </c>
      <c r="B6" s="7">
        <v>157500.0</v>
      </c>
      <c r="C6" s="7">
        <v>57432.67</v>
      </c>
      <c r="D6" s="7">
        <v>97200.0</v>
      </c>
      <c r="E6" s="7">
        <v>191442.23</v>
      </c>
      <c r="F6" s="7">
        <v>154632.67</v>
      </c>
      <c r="G6" s="8">
        <f t="shared" si="1"/>
        <v>100067.33</v>
      </c>
      <c r="H6" s="8">
        <f t="shared" si="2"/>
        <v>0.635348127</v>
      </c>
      <c r="I6" s="8">
        <f t="shared" si="3"/>
        <v>2867.33</v>
      </c>
      <c r="J6" s="8">
        <f t="shared" si="4"/>
        <v>-36809.56</v>
      </c>
      <c r="K6" s="8">
        <f t="shared" si="5"/>
        <v>-141200.85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>
        <v>45444.0</v>
      </c>
      <c r="B7" s="7">
        <v>157500.0</v>
      </c>
      <c r="C7" s="7">
        <v>60304.3</v>
      </c>
      <c r="D7" s="7">
        <v>99000.0</v>
      </c>
      <c r="E7" s="7">
        <v>201014.34</v>
      </c>
      <c r="F7" s="7">
        <v>159304.3</v>
      </c>
      <c r="G7" s="8">
        <f t="shared" si="1"/>
        <v>97195.7</v>
      </c>
      <c r="H7" s="8">
        <f t="shared" si="2"/>
        <v>0.6171155556</v>
      </c>
      <c r="I7" s="8">
        <f t="shared" si="3"/>
        <v>-1804.3</v>
      </c>
      <c r="J7" s="8">
        <f t="shared" si="4"/>
        <v>-41710.04</v>
      </c>
      <c r="K7" s="8">
        <f t="shared" si="5"/>
        <v>-182910.89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>
        <v>45474.0</v>
      </c>
      <c r="B8" s="7">
        <v>157500.0</v>
      </c>
      <c r="C8" s="7">
        <v>63319.52</v>
      </c>
      <c r="D8" s="7">
        <v>100800.0</v>
      </c>
      <c r="E8" s="7">
        <v>211065.05</v>
      </c>
      <c r="F8" s="7">
        <v>164119.52</v>
      </c>
      <c r="G8" s="8">
        <f t="shared" si="1"/>
        <v>94180.48</v>
      </c>
      <c r="H8" s="8">
        <f t="shared" si="2"/>
        <v>0.5979713016</v>
      </c>
      <c r="I8" s="8">
        <f t="shared" si="3"/>
        <v>-6619.52</v>
      </c>
      <c r="J8" s="8">
        <f t="shared" si="4"/>
        <v>-46945.53</v>
      </c>
      <c r="K8" s="8">
        <f t="shared" si="5"/>
        <v>-229856.42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>
        <v>45505.0</v>
      </c>
      <c r="B9" s="7">
        <v>157500.0</v>
      </c>
      <c r="C9" s="7">
        <v>66485.49</v>
      </c>
      <c r="D9" s="7">
        <v>102600.0</v>
      </c>
      <c r="E9" s="7">
        <v>221618.32</v>
      </c>
      <c r="F9" s="7">
        <v>169085.49</v>
      </c>
      <c r="G9" s="8">
        <f t="shared" si="1"/>
        <v>91014.51</v>
      </c>
      <c r="H9" s="8">
        <f t="shared" si="2"/>
        <v>0.5778699048</v>
      </c>
      <c r="I9" s="8">
        <f t="shared" si="3"/>
        <v>-11585.49</v>
      </c>
      <c r="J9" s="8">
        <f t="shared" si="4"/>
        <v>-52532.83</v>
      </c>
      <c r="K9" s="8">
        <f t="shared" si="5"/>
        <v>-282389.25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>
        <v>45536.0</v>
      </c>
      <c r="B10" s="7">
        <v>157500.0</v>
      </c>
      <c r="C10" s="7">
        <v>69809.77</v>
      </c>
      <c r="D10" s="7">
        <v>104400.0</v>
      </c>
      <c r="E10" s="7">
        <v>232699.24</v>
      </c>
      <c r="F10" s="7">
        <v>174209.77</v>
      </c>
      <c r="G10" s="8">
        <f t="shared" si="1"/>
        <v>87690.23</v>
      </c>
      <c r="H10" s="8">
        <f t="shared" si="2"/>
        <v>0.5567633651</v>
      </c>
      <c r="I10" s="8">
        <f t="shared" si="3"/>
        <v>-16709.77</v>
      </c>
      <c r="J10" s="8">
        <f t="shared" si="4"/>
        <v>-58489.47</v>
      </c>
      <c r="K10" s="8">
        <f t="shared" si="5"/>
        <v>-340878.72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>
        <v>45566.0</v>
      </c>
      <c r="B11" s="7">
        <v>157500.0</v>
      </c>
      <c r="C11" s="7">
        <v>73299.06</v>
      </c>
      <c r="D11" s="7">
        <v>106200.0</v>
      </c>
      <c r="E11" s="7">
        <v>244334.2</v>
      </c>
      <c r="F11" s="7">
        <v>179499.06</v>
      </c>
      <c r="G11" s="8">
        <f t="shared" si="1"/>
        <v>84200.94</v>
      </c>
      <c r="H11" s="8">
        <f t="shared" si="2"/>
        <v>0.5346091429</v>
      </c>
      <c r="I11" s="8">
        <f t="shared" si="3"/>
        <v>-21999.06</v>
      </c>
      <c r="J11" s="8">
        <f t="shared" si="4"/>
        <v>-64835.14</v>
      </c>
      <c r="K11" s="8">
        <f t="shared" si="5"/>
        <v>-405713.86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>
        <v>45597.0</v>
      </c>
      <c r="B12" s="7">
        <v>157500.0</v>
      </c>
      <c r="C12" s="7">
        <v>76965.57</v>
      </c>
      <c r="D12" s="7">
        <v>108000.0</v>
      </c>
      <c r="E12" s="7">
        <v>256551.91</v>
      </c>
      <c r="F12" s="7">
        <v>184965.57</v>
      </c>
      <c r="G12" s="8">
        <f t="shared" si="1"/>
        <v>80534.43</v>
      </c>
      <c r="H12" s="8">
        <f t="shared" si="2"/>
        <v>0.5113297143</v>
      </c>
      <c r="I12" s="8">
        <f t="shared" si="3"/>
        <v>-27465.57</v>
      </c>
      <c r="J12" s="8">
        <f t="shared" si="4"/>
        <v>-71586.34</v>
      </c>
      <c r="K12" s="8">
        <f t="shared" si="5"/>
        <v>-477300.2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>
        <v>45627.0</v>
      </c>
      <c r="B13" s="7">
        <v>157500.0</v>
      </c>
      <c r="C13" s="7">
        <v>80813.85</v>
      </c>
      <c r="D13" s="7">
        <v>109800.0</v>
      </c>
      <c r="E13" s="7">
        <v>269379.51</v>
      </c>
      <c r="F13" s="7">
        <v>190613.85</v>
      </c>
      <c r="G13" s="8">
        <f t="shared" si="1"/>
        <v>76686.15</v>
      </c>
      <c r="H13" s="8">
        <f t="shared" si="2"/>
        <v>0.4868961905</v>
      </c>
      <c r="I13" s="8">
        <f t="shared" si="3"/>
        <v>-33113.85</v>
      </c>
      <c r="J13" s="8">
        <f t="shared" si="4"/>
        <v>-78765.66</v>
      </c>
      <c r="K13" s="8">
        <f t="shared" si="5"/>
        <v>-556065.86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>
        <v>45658.0</v>
      </c>
      <c r="B14" s="7">
        <v>157500.0</v>
      </c>
      <c r="C14" s="7">
        <v>84854.55</v>
      </c>
      <c r="D14" s="7">
        <v>111600.0</v>
      </c>
      <c r="E14" s="7">
        <v>282848.49</v>
      </c>
      <c r="F14" s="7">
        <v>196454.55</v>
      </c>
      <c r="G14" s="8">
        <f t="shared" si="1"/>
        <v>72645.45</v>
      </c>
      <c r="H14" s="8">
        <f t="shared" si="2"/>
        <v>0.4612409524</v>
      </c>
      <c r="I14" s="8">
        <f t="shared" si="3"/>
        <v>-38954.55</v>
      </c>
      <c r="J14" s="8">
        <f t="shared" si="4"/>
        <v>-86393.94</v>
      </c>
      <c r="K14" s="8">
        <f t="shared" si="5"/>
        <v>-642459.8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>
        <v>45689.0</v>
      </c>
      <c r="B15" s="7">
        <v>157500.0</v>
      </c>
      <c r="C15" s="7">
        <v>89097.27</v>
      </c>
      <c r="D15" s="7">
        <v>113400.0</v>
      </c>
      <c r="E15" s="7">
        <v>296990.91</v>
      </c>
      <c r="F15" s="7">
        <v>202497.27</v>
      </c>
      <c r="G15" s="8">
        <f t="shared" si="1"/>
        <v>68402.73</v>
      </c>
      <c r="H15" s="8">
        <f t="shared" si="2"/>
        <v>0.4343030476</v>
      </c>
      <c r="I15" s="8">
        <f t="shared" si="3"/>
        <v>-44997.27</v>
      </c>
      <c r="J15" s="8">
        <f t="shared" si="4"/>
        <v>-94493.64</v>
      </c>
      <c r="K15" s="8">
        <f t="shared" si="5"/>
        <v>-736953.44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>
        <v>45717.0</v>
      </c>
      <c r="B16" s="7">
        <v>157500.0</v>
      </c>
      <c r="C16" s="7">
        <v>93553.04</v>
      </c>
      <c r="D16" s="7">
        <v>115200.0</v>
      </c>
      <c r="E16" s="7">
        <v>311843.45</v>
      </c>
      <c r="F16" s="7">
        <v>208753.04</v>
      </c>
      <c r="G16" s="8">
        <f t="shared" si="1"/>
        <v>63946.96</v>
      </c>
      <c r="H16" s="8">
        <f t="shared" si="2"/>
        <v>0.4060124444</v>
      </c>
      <c r="I16" s="8">
        <f t="shared" si="3"/>
        <v>-51253.04</v>
      </c>
      <c r="J16" s="8">
        <f t="shared" si="4"/>
        <v>-103090.41</v>
      </c>
      <c r="K16" s="8">
        <f t="shared" si="5"/>
        <v>-840043.85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>
        <v>45748.0</v>
      </c>
      <c r="B17" s="7">
        <v>157500.0</v>
      </c>
      <c r="C17" s="7">
        <v>98233.69</v>
      </c>
      <c r="D17" s="7">
        <v>117000.0</v>
      </c>
      <c r="E17" s="7">
        <v>327445.62</v>
      </c>
      <c r="F17" s="7">
        <v>215233.69</v>
      </c>
      <c r="G17" s="8">
        <f t="shared" si="1"/>
        <v>59266.31</v>
      </c>
      <c r="H17" s="8">
        <f t="shared" si="2"/>
        <v>0.3762940317</v>
      </c>
      <c r="I17" s="8">
        <f t="shared" si="3"/>
        <v>-57733.69</v>
      </c>
      <c r="J17" s="8">
        <f t="shared" si="4"/>
        <v>-112211.93</v>
      </c>
      <c r="K17" s="8">
        <f t="shared" si="5"/>
        <v>-952255.78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>
        <v>45778.0</v>
      </c>
      <c r="B18" s="7">
        <v>157500.0</v>
      </c>
      <c r="C18" s="7">
        <v>103152.27</v>
      </c>
      <c r="D18" s="7">
        <v>118800.0</v>
      </c>
      <c r="E18" s="7">
        <v>343840.9</v>
      </c>
      <c r="F18" s="7">
        <v>221952.27</v>
      </c>
      <c r="G18" s="8">
        <f t="shared" si="1"/>
        <v>54347.73</v>
      </c>
      <c r="H18" s="8">
        <f t="shared" si="2"/>
        <v>0.3450649524</v>
      </c>
      <c r="I18" s="8">
        <f t="shared" si="3"/>
        <v>-64452.27</v>
      </c>
      <c r="J18" s="8">
        <f t="shared" si="4"/>
        <v>-121888.63</v>
      </c>
      <c r="K18" s="8">
        <f t="shared" si="5"/>
        <v>-1074144.41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>
        <v>45809.0</v>
      </c>
      <c r="B19" s="7">
        <v>157500.0</v>
      </c>
      <c r="C19" s="7">
        <v>108322.78</v>
      </c>
      <c r="D19" s="7">
        <v>120600.0</v>
      </c>
      <c r="E19" s="7">
        <v>361075.94</v>
      </c>
      <c r="F19" s="7">
        <v>228922.78</v>
      </c>
      <c r="G19" s="8">
        <f t="shared" si="1"/>
        <v>49177.22</v>
      </c>
      <c r="H19" s="8">
        <f t="shared" si="2"/>
        <v>0.3122363175</v>
      </c>
      <c r="I19" s="8">
        <f t="shared" si="3"/>
        <v>-71422.78</v>
      </c>
      <c r="J19" s="8">
        <f t="shared" si="4"/>
        <v>-132153.16</v>
      </c>
      <c r="K19" s="8">
        <f t="shared" si="5"/>
        <v>-1206297.57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>
        <v>45839.0</v>
      </c>
      <c r="B20" s="7">
        <v>157500.0</v>
      </c>
      <c r="C20" s="7">
        <v>113760.22</v>
      </c>
      <c r="D20" s="7">
        <v>122400.0</v>
      </c>
      <c r="E20" s="7">
        <v>379200.74</v>
      </c>
      <c r="F20" s="7">
        <v>236160.22</v>
      </c>
      <c r="G20" s="8">
        <f t="shared" si="1"/>
        <v>43739.78</v>
      </c>
      <c r="H20" s="8">
        <f t="shared" si="2"/>
        <v>0.2777128889</v>
      </c>
      <c r="I20" s="8">
        <f t="shared" si="3"/>
        <v>-78660.22</v>
      </c>
      <c r="J20" s="8">
        <f t="shared" si="4"/>
        <v>-143040.52</v>
      </c>
      <c r="K20" s="8">
        <f t="shared" si="5"/>
        <v>-1349338.09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>
        <v>45870.0</v>
      </c>
      <c r="B21" s="7">
        <v>157500.0</v>
      </c>
      <c r="C21" s="7">
        <v>119480.63</v>
      </c>
      <c r="D21" s="7">
        <v>124200.0</v>
      </c>
      <c r="E21" s="7">
        <v>398268.78</v>
      </c>
      <c r="F21" s="7">
        <v>243680.63</v>
      </c>
      <c r="G21" s="8">
        <f t="shared" si="1"/>
        <v>38019.37</v>
      </c>
      <c r="H21" s="8">
        <f t="shared" si="2"/>
        <v>0.2413928254</v>
      </c>
      <c r="I21" s="8">
        <f t="shared" si="3"/>
        <v>-86180.63</v>
      </c>
      <c r="J21" s="8">
        <f t="shared" si="4"/>
        <v>-154588.15</v>
      </c>
      <c r="K21" s="8">
        <f t="shared" si="5"/>
        <v>-1503926.24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">
        <v>45901.0</v>
      </c>
      <c r="B22" s="7">
        <v>157500.0</v>
      </c>
      <c r="C22" s="7">
        <v>125501.17</v>
      </c>
      <c r="D22" s="7">
        <v>126000.0</v>
      </c>
      <c r="E22" s="7">
        <v>418337.22</v>
      </c>
      <c r="F22" s="7">
        <v>251501.17</v>
      </c>
      <c r="G22" s="8">
        <f t="shared" si="1"/>
        <v>31998.83</v>
      </c>
      <c r="H22" s="8">
        <f t="shared" si="2"/>
        <v>0.2031671746</v>
      </c>
      <c r="I22" s="8">
        <f t="shared" si="3"/>
        <v>-94001.17</v>
      </c>
      <c r="J22" s="8">
        <f t="shared" si="4"/>
        <v>-166836.05</v>
      </c>
      <c r="K22" s="8">
        <f t="shared" si="5"/>
        <v>-1670762.29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">
        <v>45931.0</v>
      </c>
      <c r="B23" s="7">
        <v>157500.0</v>
      </c>
      <c r="C23" s="7">
        <v>131839.82</v>
      </c>
      <c r="D23" s="7">
        <v>127800.0</v>
      </c>
      <c r="E23" s="7">
        <v>439466.08</v>
      </c>
      <c r="F23" s="7">
        <v>259639.82</v>
      </c>
      <c r="G23" s="8">
        <f t="shared" si="1"/>
        <v>25660.18</v>
      </c>
      <c r="H23" s="8">
        <f t="shared" si="2"/>
        <v>0.1629217778</v>
      </c>
      <c r="I23" s="8">
        <f t="shared" si="3"/>
        <v>-102139.82</v>
      </c>
      <c r="J23" s="8">
        <f t="shared" si="4"/>
        <v>-179826.26</v>
      </c>
      <c r="K23" s="8">
        <f t="shared" si="5"/>
        <v>-1850588.55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">
        <v>45962.0</v>
      </c>
      <c r="B24" s="7">
        <v>157500.0</v>
      </c>
      <c r="C24" s="7">
        <v>138515.51</v>
      </c>
      <c r="D24" s="7">
        <v>129600.0</v>
      </c>
      <c r="E24" s="7">
        <v>461718.38</v>
      </c>
      <c r="F24" s="7">
        <v>268115.51</v>
      </c>
      <c r="G24" s="8">
        <f t="shared" si="1"/>
        <v>18984.49</v>
      </c>
      <c r="H24" s="8">
        <f t="shared" si="2"/>
        <v>0.1205364444</v>
      </c>
      <c r="I24" s="8">
        <f t="shared" si="3"/>
        <v>-110615.51</v>
      </c>
      <c r="J24" s="8">
        <f t="shared" si="4"/>
        <v>-193602.87</v>
      </c>
      <c r="K24" s="8">
        <f t="shared" si="5"/>
        <v>-2044191.42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6">
        <v>45992.0</v>
      </c>
      <c r="B25" s="7">
        <v>157500.0</v>
      </c>
      <c r="C25" s="7">
        <v>145129.5</v>
      </c>
      <c r="D25" s="7">
        <v>131400.0</v>
      </c>
      <c r="E25" s="7">
        <v>483764.99</v>
      </c>
      <c r="F25" s="7">
        <v>276529.5</v>
      </c>
      <c r="G25" s="8">
        <f t="shared" si="1"/>
        <v>12370.5</v>
      </c>
      <c r="H25" s="8">
        <f t="shared" si="2"/>
        <v>0.07854285714</v>
      </c>
      <c r="I25" s="8">
        <f t="shared" si="3"/>
        <v>-119029.5</v>
      </c>
      <c r="J25" s="8">
        <f t="shared" si="4"/>
        <v>-207235.49</v>
      </c>
      <c r="K25" s="8">
        <f t="shared" si="5"/>
        <v>-2251426.91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/>
      <c r="B26" s="4">
        <f t="shared" ref="B26:F26" si="6">SUM(B2:B25)</f>
        <v>3780000</v>
      </c>
      <c r="C26" s="4">
        <f t="shared" si="6"/>
        <v>2103524.08</v>
      </c>
      <c r="D26" s="4">
        <f t="shared" si="6"/>
        <v>2656800</v>
      </c>
      <c r="E26" s="4">
        <f t="shared" si="6"/>
        <v>7011750.99</v>
      </c>
      <c r="F26" s="4">
        <f t="shared" si="6"/>
        <v>4760324.08</v>
      </c>
      <c r="G26" s="4">
        <f t="shared" si="1"/>
        <v>1676475.92</v>
      </c>
      <c r="H26" s="8"/>
      <c r="I26" s="4">
        <f t="shared" ref="I26:K26" si="7">SUM(I2:I25)</f>
        <v>-980324.08</v>
      </c>
      <c r="J26" s="4">
        <f t="shared" si="7"/>
        <v>-2251426.91</v>
      </c>
      <c r="K26" s="4">
        <f t="shared" si="7"/>
        <v>-18979721.32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2"/>
      <c r="B29" s="12"/>
      <c r="C29" s="1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3" t="s">
        <v>1</v>
      </c>
      <c r="B30" s="14"/>
      <c r="C30" s="14">
        <f>B26</f>
        <v>3780000</v>
      </c>
      <c r="D30" s="14"/>
      <c r="E30" s="14"/>
      <c r="F30" s="14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3" t="s">
        <v>2</v>
      </c>
      <c r="B31" s="14"/>
      <c r="C31" s="14">
        <f>C26</f>
        <v>2103524.08</v>
      </c>
      <c r="D31" s="14"/>
      <c r="E31" s="14"/>
      <c r="F31" s="14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3" t="s">
        <v>6</v>
      </c>
      <c r="B32" s="14"/>
      <c r="C32" s="14">
        <f>G26</f>
        <v>1676475.92</v>
      </c>
      <c r="D32" s="14"/>
      <c r="E32" s="14"/>
      <c r="F32" s="14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5"/>
      <c r="B33" s="14"/>
      <c r="C33" s="14"/>
      <c r="D33" s="14"/>
      <c r="E33" s="14"/>
      <c r="F33" s="14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6" t="s">
        <v>12</v>
      </c>
      <c r="B34" s="14"/>
      <c r="C34" s="14"/>
      <c r="D34" s="14"/>
      <c r="E34" s="14"/>
      <c r="F34" s="14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3" t="s">
        <v>13</v>
      </c>
      <c r="B35" s="14"/>
      <c r="C35" s="14"/>
      <c r="D35" s="14"/>
      <c r="E35" s="14"/>
      <c r="F35" s="14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3" t="s">
        <v>14</v>
      </c>
      <c r="B36" s="14"/>
      <c r="C36" s="14"/>
      <c r="D36" s="14"/>
      <c r="E36" s="14"/>
      <c r="F36" s="14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3" t="s">
        <v>15</v>
      </c>
      <c r="B37" s="14"/>
      <c r="C37" s="14">
        <f>Vendor_Expenses!C1</f>
        <v>179427</v>
      </c>
      <c r="D37" s="14"/>
      <c r="E37" s="14"/>
      <c r="F37" s="14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3" t="s">
        <v>16</v>
      </c>
      <c r="B38" s="14"/>
      <c r="C38" s="14"/>
      <c r="D38" s="14"/>
      <c r="E38" s="14"/>
      <c r="F38" s="14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5"/>
      <c r="B39" s="14"/>
      <c r="C39" s="14"/>
      <c r="D39" s="14"/>
      <c r="E39" s="14"/>
      <c r="F39" s="14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3" t="s">
        <v>17</v>
      </c>
      <c r="B40" s="14"/>
      <c r="C40" s="14">
        <f>C32-(C35+C36+C37+C38)</f>
        <v>1497048.92</v>
      </c>
      <c r="D40" s="14"/>
      <c r="E40" s="14"/>
      <c r="F40" s="14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3" t="s">
        <v>18</v>
      </c>
      <c r="B41" s="14"/>
      <c r="C41" s="14">
        <f>C40*0.21</f>
        <v>314380.2732</v>
      </c>
      <c r="D41" s="17" t="s">
        <v>19</v>
      </c>
      <c r="E41" s="14"/>
      <c r="F41" s="14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3" t="s">
        <v>20</v>
      </c>
      <c r="B42" s="14"/>
      <c r="C42" s="14">
        <f>C40-C41</f>
        <v>1182668.647</v>
      </c>
      <c r="D42" s="14"/>
      <c r="E42" s="14"/>
      <c r="F42" s="1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1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1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1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1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1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1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1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1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1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1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1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1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1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1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1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1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1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1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1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1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1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1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1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1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1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1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1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1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1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1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1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1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1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1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1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1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1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1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1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1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1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1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1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1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1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1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1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1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1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1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1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1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1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1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1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1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1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1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1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1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1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1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1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1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1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1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1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1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1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1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1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1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1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1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1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1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1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1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1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1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1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1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1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1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1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1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1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1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1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1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1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1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1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1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1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1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1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1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1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1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1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1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1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1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1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1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1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1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1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1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1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1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1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1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1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1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1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1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1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1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1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1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1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1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1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1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1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1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1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1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1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1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1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1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1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1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1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1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1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1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1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1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1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1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1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1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1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1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1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1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1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1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1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1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1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1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1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1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1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1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1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1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1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1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1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1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1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1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1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1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1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1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1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1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1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1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1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1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1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1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1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1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1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1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1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1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1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1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1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1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1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1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1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1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1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1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1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1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1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1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1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1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1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1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1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1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1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1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1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1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1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1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1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1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1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1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1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1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1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1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1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1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1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1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1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1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1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1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1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1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1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1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1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1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1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1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1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1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1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1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1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1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1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1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1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1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1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1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1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1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1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1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1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1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1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1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1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1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1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1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1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1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1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1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1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1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1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1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1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1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1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1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1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1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1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1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1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1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1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1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1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1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1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1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1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1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1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1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1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1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1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1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1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1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1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1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1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1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1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1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1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1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1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1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1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1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1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1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1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1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1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1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1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1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1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1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1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1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1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1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37.0"/>
    <col customWidth="1" min="3" max="3" width="24.13"/>
    <col customWidth="1" min="4" max="4" width="13.13"/>
    <col customWidth="1" min="5" max="5" width="15.88"/>
    <col customWidth="1" min="6" max="6" width="18.0"/>
    <col customWidth="1" min="9" max="9" width="13.0"/>
    <col customWidth="1" min="10" max="10" width="31.13"/>
  </cols>
  <sheetData>
    <row r="1">
      <c r="A1" s="2" t="s">
        <v>21</v>
      </c>
      <c r="B1" s="2" t="s">
        <v>22</v>
      </c>
      <c r="C1" s="18">
        <f>SUM(C3:C32)</f>
        <v>179427</v>
      </c>
      <c r="D1" s="19" t="s">
        <v>23</v>
      </c>
      <c r="E1" s="19" t="s">
        <v>24</v>
      </c>
      <c r="F1" s="20" t="s">
        <v>25</v>
      </c>
      <c r="G1" s="21" t="s">
        <v>26</v>
      </c>
      <c r="H1" s="22"/>
      <c r="I1" s="19" t="s">
        <v>27</v>
      </c>
      <c r="J1" s="23" t="s">
        <v>28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24" t="s">
        <v>29</v>
      </c>
      <c r="B2" s="24" t="s">
        <v>30</v>
      </c>
      <c r="C2" s="25" t="s">
        <v>31</v>
      </c>
      <c r="D2" s="26" t="s">
        <v>32</v>
      </c>
      <c r="E2" s="26" t="s">
        <v>33</v>
      </c>
      <c r="F2" s="27">
        <f t="shared" ref="F2:F31" si="1"> C3 / SUM($C$2:$C$31)
</f>
        <v>0.006794958837</v>
      </c>
      <c r="G2" s="28" t="str">
        <f t="shared" ref="G2:G31" si="2">IF(E2="Discretionary", "Yes", "No")
</f>
        <v>No</v>
      </c>
      <c r="H2" s="29"/>
      <c r="I2" s="29">
        <f t="shared" ref="I2:I31" si="3">IF(E2="Discretionary", C2, 0)
</f>
        <v>0</v>
      </c>
      <c r="J2" s="30" t="s">
        <v>34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>
      <c r="A3" s="24" t="s">
        <v>35</v>
      </c>
      <c r="B3" s="24" t="s">
        <v>36</v>
      </c>
      <c r="C3" s="31">
        <v>1191.0</v>
      </c>
      <c r="D3" s="26" t="s">
        <v>32</v>
      </c>
      <c r="E3" s="26" t="s">
        <v>33</v>
      </c>
      <c r="F3" s="27">
        <f t="shared" si="1"/>
        <v>0.03370664719</v>
      </c>
      <c r="G3" s="28" t="str">
        <f t="shared" si="2"/>
        <v>No</v>
      </c>
      <c r="H3" s="29"/>
      <c r="I3" s="29">
        <f t="shared" si="3"/>
        <v>0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>
      <c r="A4" s="24" t="s">
        <v>37</v>
      </c>
      <c r="B4" s="24" t="s">
        <v>38</v>
      </c>
      <c r="C4" s="31">
        <v>5908.0</v>
      </c>
      <c r="D4" s="26" t="s">
        <v>39</v>
      </c>
      <c r="E4" s="26" t="s">
        <v>33</v>
      </c>
      <c r="F4" s="27">
        <f t="shared" si="1"/>
        <v>0.04734791216</v>
      </c>
      <c r="G4" s="28" t="str">
        <f t="shared" si="2"/>
        <v>No</v>
      </c>
      <c r="H4" s="29"/>
      <c r="I4" s="29">
        <f t="shared" si="3"/>
        <v>0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>
      <c r="A5" s="24" t="s">
        <v>40</v>
      </c>
      <c r="B5" s="24" t="s">
        <v>41</v>
      </c>
      <c r="C5" s="31">
        <v>8299.0</v>
      </c>
      <c r="D5" s="26" t="s">
        <v>39</v>
      </c>
      <c r="E5" s="26" t="s">
        <v>33</v>
      </c>
      <c r="F5" s="27">
        <f t="shared" si="1"/>
        <v>0.01389800145</v>
      </c>
      <c r="G5" s="28" t="str">
        <f t="shared" si="2"/>
        <v>No</v>
      </c>
      <c r="H5" s="29"/>
      <c r="I5" s="29">
        <f t="shared" si="3"/>
        <v>0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>
      <c r="A6" s="24" t="s">
        <v>42</v>
      </c>
      <c r="B6" s="24" t="s">
        <v>43</v>
      </c>
      <c r="C6" s="31">
        <v>2436.0</v>
      </c>
      <c r="D6" s="26" t="s">
        <v>39</v>
      </c>
      <c r="E6" s="26" t="s">
        <v>33</v>
      </c>
      <c r="F6" s="27">
        <f t="shared" si="1"/>
        <v>0.02270121008</v>
      </c>
      <c r="G6" s="28" t="str">
        <f t="shared" si="2"/>
        <v>No</v>
      </c>
      <c r="H6" s="29"/>
      <c r="I6" s="29">
        <f t="shared" si="3"/>
        <v>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>
      <c r="A7" s="24" t="s">
        <v>44</v>
      </c>
      <c r="B7" s="24" t="s">
        <v>45</v>
      </c>
      <c r="C7" s="31">
        <v>3979.0</v>
      </c>
      <c r="D7" s="26" t="s">
        <v>39</v>
      </c>
      <c r="E7" s="26" t="s">
        <v>33</v>
      </c>
      <c r="F7" s="27">
        <f t="shared" si="1"/>
        <v>0.0382309145</v>
      </c>
      <c r="G7" s="28" t="str">
        <f t="shared" si="2"/>
        <v>No</v>
      </c>
      <c r="H7" s="29"/>
      <c r="I7" s="29">
        <f t="shared" si="3"/>
        <v>0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>
      <c r="A8" s="24" t="s">
        <v>46</v>
      </c>
      <c r="B8" s="24" t="s">
        <v>47</v>
      </c>
      <c r="C8" s="31">
        <v>6701.0</v>
      </c>
      <c r="D8" s="26" t="s">
        <v>39</v>
      </c>
      <c r="E8" s="26" t="s">
        <v>33</v>
      </c>
      <c r="F8" s="27">
        <f t="shared" si="1"/>
        <v>0.01735538605</v>
      </c>
      <c r="G8" s="28" t="str">
        <f t="shared" si="2"/>
        <v>No</v>
      </c>
      <c r="H8" s="29"/>
      <c r="I8" s="29">
        <f t="shared" si="3"/>
        <v>0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>
      <c r="A9" s="24" t="s">
        <v>48</v>
      </c>
      <c r="B9" s="24" t="s">
        <v>49</v>
      </c>
      <c r="C9" s="31">
        <v>3042.0</v>
      </c>
      <c r="D9" s="26" t="s">
        <v>39</v>
      </c>
      <c r="E9" s="26" t="s">
        <v>50</v>
      </c>
      <c r="F9" s="27">
        <f t="shared" si="1"/>
        <v>0.03730095791</v>
      </c>
      <c r="G9" s="28" t="str">
        <f t="shared" si="2"/>
        <v>No</v>
      </c>
      <c r="H9" s="29"/>
      <c r="I9" s="29">
        <f t="shared" si="3"/>
        <v>0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>
      <c r="A10" s="24" t="s">
        <v>51</v>
      </c>
      <c r="B10" s="24" t="s">
        <v>52</v>
      </c>
      <c r="C10" s="31">
        <v>6538.0</v>
      </c>
      <c r="D10" s="26" t="s">
        <v>39</v>
      </c>
      <c r="E10" s="26" t="s">
        <v>33</v>
      </c>
      <c r="F10" s="27">
        <f t="shared" si="1"/>
        <v>0.03305054286</v>
      </c>
      <c r="G10" s="28" t="str">
        <f t="shared" si="2"/>
        <v>No</v>
      </c>
      <c r="H10" s="29"/>
      <c r="I10" s="29">
        <f t="shared" si="3"/>
        <v>0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>
      <c r="A11" s="24" t="s">
        <v>53</v>
      </c>
      <c r="B11" s="24" t="s">
        <v>54</v>
      </c>
      <c r="C11" s="31">
        <v>5793.0</v>
      </c>
      <c r="D11" s="26" t="s">
        <v>39</v>
      </c>
      <c r="E11" s="26" t="s">
        <v>33</v>
      </c>
      <c r="F11" s="27">
        <f t="shared" si="1"/>
        <v>0.03949177587</v>
      </c>
      <c r="G11" s="28" t="str">
        <f t="shared" si="2"/>
        <v>No</v>
      </c>
      <c r="H11" s="29"/>
      <c r="I11" s="29">
        <f t="shared" si="3"/>
        <v>0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>
      <c r="A12" s="24" t="s">
        <v>55</v>
      </c>
      <c r="B12" s="24" t="s">
        <v>56</v>
      </c>
      <c r="C12" s="31">
        <v>6922.0</v>
      </c>
      <c r="D12" s="26" t="s">
        <v>39</v>
      </c>
      <c r="E12" s="26" t="s">
        <v>33</v>
      </c>
      <c r="F12" s="27">
        <f t="shared" si="1"/>
        <v>0.03936626026</v>
      </c>
      <c r="G12" s="28" t="str">
        <f t="shared" si="2"/>
        <v>No</v>
      </c>
      <c r="H12" s="29"/>
      <c r="I12" s="29">
        <f t="shared" si="3"/>
        <v>0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>
      <c r="A13" s="24" t="s">
        <v>57</v>
      </c>
      <c r="B13" s="24" t="s">
        <v>58</v>
      </c>
      <c r="C13" s="31">
        <v>6900.0</v>
      </c>
      <c r="D13" s="26" t="s">
        <v>32</v>
      </c>
      <c r="E13" s="26" t="s">
        <v>33</v>
      </c>
      <c r="F13" s="27">
        <f t="shared" si="1"/>
        <v>0.03747782082</v>
      </c>
      <c r="G13" s="28" t="str">
        <f t="shared" si="2"/>
        <v>No</v>
      </c>
      <c r="H13" s="29"/>
      <c r="I13" s="29">
        <f t="shared" si="3"/>
        <v>0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>
      <c r="A14" s="24" t="s">
        <v>59</v>
      </c>
      <c r="B14" s="24" t="s">
        <v>60</v>
      </c>
      <c r="C14" s="31">
        <v>6569.0</v>
      </c>
      <c r="D14" s="26" t="s">
        <v>32</v>
      </c>
      <c r="E14" s="26" t="s">
        <v>33</v>
      </c>
      <c r="F14" s="27">
        <f t="shared" si="1"/>
        <v>0.01936363584</v>
      </c>
      <c r="G14" s="28" t="str">
        <f t="shared" si="2"/>
        <v>No</v>
      </c>
      <c r="H14" s="29"/>
      <c r="I14" s="29">
        <f t="shared" si="3"/>
        <v>0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>
      <c r="A15" s="24" t="s">
        <v>61</v>
      </c>
      <c r="B15" s="24" t="s">
        <v>62</v>
      </c>
      <c r="C15" s="31">
        <v>3394.0</v>
      </c>
      <c r="D15" s="26" t="s">
        <v>32</v>
      </c>
      <c r="E15" s="26" t="s">
        <v>33</v>
      </c>
      <c r="F15" s="27">
        <f t="shared" si="1"/>
        <v>0.02115508595</v>
      </c>
      <c r="G15" s="28" t="str">
        <f t="shared" si="2"/>
        <v>No</v>
      </c>
      <c r="H15" s="29"/>
      <c r="I15" s="29">
        <f t="shared" si="3"/>
        <v>0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>
      <c r="A16" s="24" t="s">
        <v>63</v>
      </c>
      <c r="B16" s="24" t="s">
        <v>64</v>
      </c>
      <c r="C16" s="31">
        <v>3708.0</v>
      </c>
      <c r="D16" s="26" t="s">
        <v>39</v>
      </c>
      <c r="E16" s="26" t="s">
        <v>33</v>
      </c>
      <c r="F16" s="27">
        <f t="shared" si="1"/>
        <v>0.04401604318</v>
      </c>
      <c r="G16" s="28" t="str">
        <f t="shared" si="2"/>
        <v>No</v>
      </c>
      <c r="H16" s="29"/>
      <c r="I16" s="29">
        <f t="shared" si="3"/>
        <v>0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>
      <c r="A17" s="24" t="s">
        <v>65</v>
      </c>
      <c r="B17" s="24" t="s">
        <v>66</v>
      </c>
      <c r="C17" s="31">
        <v>7715.0</v>
      </c>
      <c r="D17" s="26" t="s">
        <v>39</v>
      </c>
      <c r="E17" s="26" t="s">
        <v>33</v>
      </c>
      <c r="F17" s="27">
        <f t="shared" si="1"/>
        <v>0.04225311935</v>
      </c>
      <c r="G17" s="28" t="str">
        <f t="shared" si="2"/>
        <v>No</v>
      </c>
      <c r="H17" s="29"/>
      <c r="I17" s="29">
        <f t="shared" si="3"/>
        <v>0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A18" s="24" t="s">
        <v>67</v>
      </c>
      <c r="B18" s="24" t="s">
        <v>68</v>
      </c>
      <c r="C18" s="31">
        <v>7406.0</v>
      </c>
      <c r="D18" s="26" t="s">
        <v>39</v>
      </c>
      <c r="E18" s="26" t="s">
        <v>33</v>
      </c>
      <c r="F18" s="27">
        <f t="shared" si="1"/>
        <v>0.007165800419</v>
      </c>
      <c r="G18" s="28" t="str">
        <f t="shared" si="2"/>
        <v>No</v>
      </c>
      <c r="H18" s="29"/>
      <c r="I18" s="29">
        <f t="shared" si="3"/>
        <v>0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>
      <c r="A19" s="24" t="s">
        <v>69</v>
      </c>
      <c r="B19" s="24" t="s">
        <v>70</v>
      </c>
      <c r="C19" s="31">
        <v>1256.0</v>
      </c>
      <c r="D19" s="26" t="s">
        <v>39</v>
      </c>
      <c r="E19" s="26" t="s">
        <v>50</v>
      </c>
      <c r="F19" s="27">
        <f t="shared" si="1"/>
        <v>0.03540110796</v>
      </c>
      <c r="G19" s="28" t="str">
        <f t="shared" si="2"/>
        <v>No</v>
      </c>
      <c r="H19" s="29"/>
      <c r="I19" s="29">
        <f t="shared" si="3"/>
        <v>0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>
      <c r="A20" s="24" t="s">
        <v>71</v>
      </c>
      <c r="B20" s="24" t="s">
        <v>72</v>
      </c>
      <c r="C20" s="31">
        <v>6205.0</v>
      </c>
      <c r="D20" s="26" t="s">
        <v>39</v>
      </c>
      <c r="E20" s="26" t="s">
        <v>50</v>
      </c>
      <c r="F20" s="27">
        <f t="shared" si="1"/>
        <v>0.05112479105</v>
      </c>
      <c r="G20" s="28" t="str">
        <f t="shared" si="2"/>
        <v>No</v>
      </c>
      <c r="H20" s="29"/>
      <c r="I20" s="29">
        <f t="shared" si="3"/>
        <v>0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>
      <c r="A21" s="24" t="s">
        <v>73</v>
      </c>
      <c r="B21" s="24" t="s">
        <v>74</v>
      </c>
      <c r="C21" s="31">
        <v>8961.0</v>
      </c>
      <c r="D21" s="26" t="s">
        <v>32</v>
      </c>
      <c r="E21" s="26" t="s">
        <v>50</v>
      </c>
      <c r="F21" s="27">
        <f t="shared" si="1"/>
        <v>0.04172253062</v>
      </c>
      <c r="G21" s="28" t="str">
        <f t="shared" si="2"/>
        <v>No</v>
      </c>
      <c r="H21" s="29"/>
      <c r="I21" s="29">
        <f t="shared" si="3"/>
        <v>0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>
      <c r="A22" s="24" t="s">
        <v>75</v>
      </c>
      <c r="B22" s="24" t="s">
        <v>76</v>
      </c>
      <c r="C22" s="31">
        <v>7313.0</v>
      </c>
      <c r="D22" s="26" t="s">
        <v>32</v>
      </c>
      <c r="E22" s="26" t="s">
        <v>50</v>
      </c>
      <c r="F22" s="27">
        <f t="shared" si="1"/>
        <v>0.05179230589</v>
      </c>
      <c r="G22" s="28" t="str">
        <f t="shared" si="2"/>
        <v>No</v>
      </c>
      <c r="H22" s="29"/>
      <c r="I22" s="29">
        <f t="shared" si="3"/>
        <v>0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>
      <c r="A23" s="24" t="s">
        <v>77</v>
      </c>
      <c r="B23" s="24" t="s">
        <v>78</v>
      </c>
      <c r="C23" s="31">
        <v>9078.0</v>
      </c>
      <c r="D23" s="26" t="s">
        <v>32</v>
      </c>
      <c r="E23" s="26" t="s">
        <v>50</v>
      </c>
      <c r="F23" s="27">
        <f t="shared" si="1"/>
        <v>0.04143156261</v>
      </c>
      <c r="G23" s="28" t="str">
        <f t="shared" si="2"/>
        <v>No</v>
      </c>
      <c r="H23" s="29"/>
      <c r="I23" s="29">
        <f t="shared" si="3"/>
        <v>0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>
      <c r="A24" s="24" t="s">
        <v>79</v>
      </c>
      <c r="B24" s="24" t="s">
        <v>80</v>
      </c>
      <c r="C24" s="31">
        <v>7262.0</v>
      </c>
      <c r="D24" s="26" t="s">
        <v>32</v>
      </c>
      <c r="E24" s="26" t="s">
        <v>50</v>
      </c>
      <c r="F24" s="27">
        <f t="shared" si="1"/>
        <v>0.05451941784</v>
      </c>
      <c r="G24" s="28" t="str">
        <f t="shared" si="2"/>
        <v>No</v>
      </c>
      <c r="H24" s="29"/>
      <c r="I24" s="29">
        <f t="shared" si="3"/>
        <v>0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>
      <c r="A25" s="24" t="s">
        <v>81</v>
      </c>
      <c r="B25" s="24" t="s">
        <v>82</v>
      </c>
      <c r="C25" s="31">
        <v>9556.0</v>
      </c>
      <c r="D25" s="26" t="s">
        <v>32</v>
      </c>
      <c r="E25" s="26" t="s">
        <v>50</v>
      </c>
      <c r="F25" s="27">
        <f t="shared" si="1"/>
        <v>0.04737643844</v>
      </c>
      <c r="G25" s="28" t="str">
        <f t="shared" si="2"/>
        <v>No</v>
      </c>
      <c r="H25" s="29"/>
      <c r="I25" s="29">
        <f t="shared" si="3"/>
        <v>0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>
      <c r="A26" s="24" t="s">
        <v>83</v>
      </c>
      <c r="B26" s="24" t="s">
        <v>84</v>
      </c>
      <c r="C26" s="31">
        <v>8304.0</v>
      </c>
      <c r="D26" s="26" t="s">
        <v>39</v>
      </c>
      <c r="E26" s="26" t="s">
        <v>33</v>
      </c>
      <c r="F26" s="27">
        <f t="shared" si="1"/>
        <v>0.03499603485</v>
      </c>
      <c r="G26" s="28" t="str">
        <f t="shared" si="2"/>
        <v>No</v>
      </c>
      <c r="H26" s="29"/>
      <c r="I26" s="29">
        <f t="shared" si="3"/>
        <v>0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>
      <c r="A27" s="24" t="s">
        <v>85</v>
      </c>
      <c r="B27" s="24" t="s">
        <v>86</v>
      </c>
      <c r="C27" s="31">
        <v>6134.0</v>
      </c>
      <c r="D27" s="26" t="s">
        <v>39</v>
      </c>
      <c r="E27" s="26" t="s">
        <v>33</v>
      </c>
      <c r="F27" s="27">
        <f t="shared" si="1"/>
        <v>0.03557226561</v>
      </c>
      <c r="G27" s="28" t="str">
        <f t="shared" si="2"/>
        <v>No</v>
      </c>
      <c r="H27" s="29"/>
      <c r="I27" s="29">
        <f t="shared" si="3"/>
        <v>0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>
      <c r="A28" s="24" t="s">
        <v>87</v>
      </c>
      <c r="B28" s="24" t="s">
        <v>88</v>
      </c>
      <c r="C28" s="31">
        <v>6235.0</v>
      </c>
      <c r="D28" s="26" t="s">
        <v>39</v>
      </c>
      <c r="E28" s="26" t="s">
        <v>50</v>
      </c>
      <c r="F28" s="27">
        <f t="shared" si="1"/>
        <v>0.04955014063</v>
      </c>
      <c r="G28" s="28" t="str">
        <f t="shared" si="2"/>
        <v>No</v>
      </c>
      <c r="H28" s="29"/>
      <c r="I28" s="29">
        <f t="shared" si="3"/>
        <v>0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>
      <c r="A29" s="24" t="s">
        <v>89</v>
      </c>
      <c r="B29" s="24" t="s">
        <v>90</v>
      </c>
      <c r="C29" s="31">
        <v>8685.0</v>
      </c>
      <c r="D29" s="26" t="s">
        <v>39</v>
      </c>
      <c r="E29" s="26" t="s">
        <v>33</v>
      </c>
      <c r="F29" s="27">
        <f t="shared" si="1"/>
        <v>0.04692572328</v>
      </c>
      <c r="G29" s="28" t="str">
        <f t="shared" si="2"/>
        <v>No</v>
      </c>
      <c r="H29" s="29"/>
      <c r="I29" s="29">
        <f t="shared" si="3"/>
        <v>0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>
      <c r="A30" s="24" t="s">
        <v>91</v>
      </c>
      <c r="B30" s="24" t="s">
        <v>92</v>
      </c>
      <c r="C30" s="31">
        <v>8225.0</v>
      </c>
      <c r="D30" s="26" t="s">
        <v>39</v>
      </c>
      <c r="E30" s="26" t="s">
        <v>33</v>
      </c>
      <c r="F30" s="27">
        <f t="shared" si="1"/>
        <v>0.008911608483</v>
      </c>
      <c r="G30" s="28" t="str">
        <f t="shared" si="2"/>
        <v>No</v>
      </c>
      <c r="H30" s="29"/>
      <c r="I30" s="29">
        <f t="shared" si="3"/>
        <v>0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>
      <c r="A31" s="24" t="s">
        <v>93</v>
      </c>
      <c r="B31" s="24" t="s">
        <v>94</v>
      </c>
      <c r="C31" s="31">
        <v>1562.0</v>
      </c>
      <c r="D31" s="26" t="s">
        <v>39</v>
      </c>
      <c r="E31" s="26" t="s">
        <v>33</v>
      </c>
      <c r="F31" s="27">
        <f t="shared" si="1"/>
        <v>0.02367680871</v>
      </c>
      <c r="G31" s="28" t="str">
        <f t="shared" si="2"/>
        <v>No</v>
      </c>
      <c r="H31" s="29"/>
      <c r="I31" s="29">
        <f t="shared" si="3"/>
        <v>0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>
      <c r="A32" s="29"/>
      <c r="B32" s="29"/>
      <c r="C32" s="31">
        <v>4150.0</v>
      </c>
      <c r="D32" s="26"/>
      <c r="E32" s="26"/>
      <c r="F32" s="27"/>
      <c r="G32" s="28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>
      <c r="A33" s="29"/>
      <c r="B33" s="29"/>
      <c r="C33" s="32"/>
      <c r="D33" s="29"/>
      <c r="E33" s="29"/>
      <c r="F33" s="33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>
      <c r="A34" s="29"/>
      <c r="B34" s="29"/>
      <c r="C34" s="32"/>
      <c r="D34" s="29"/>
      <c r="E34" s="29"/>
      <c r="F34" s="33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>
      <c r="A35" s="34" t="s">
        <v>95</v>
      </c>
      <c r="B35" s="35">
        <f>SUM(C3:C32)</f>
        <v>179427</v>
      </c>
      <c r="C35" s="32"/>
      <c r="D35" s="29"/>
      <c r="E35" s="29"/>
      <c r="F35" s="33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>
      <c r="A36" s="34" t="s">
        <v>96</v>
      </c>
      <c r="B36" s="35">
        <f>SUMIF(E2:E31,"CORE",C3:C32)</f>
        <v>107525</v>
      </c>
      <c r="C36" s="32"/>
      <c r="D36" s="29"/>
      <c r="E36" s="29"/>
      <c r="F36" s="33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>
      <c r="A37" s="34" t="s">
        <v>97</v>
      </c>
      <c r="B37" s="35">
        <f>SUMIF(E2:E31,"DISCRETIONARY",C3:C32)</f>
        <v>0</v>
      </c>
      <c r="C37" s="32"/>
      <c r="D37" s="29"/>
      <c r="E37" s="29"/>
      <c r="F37" s="33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>
      <c r="A38" s="34" t="s">
        <v>98</v>
      </c>
      <c r="B38" s="35">
        <f>SUM(I2:I32)</f>
        <v>0</v>
      </c>
      <c r="C38" s="32"/>
      <c r="D38" s="29"/>
      <c r="E38" s="29"/>
      <c r="F38" s="33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>
      <c r="A39" s="29"/>
      <c r="B39" s="29"/>
      <c r="C39" s="32"/>
      <c r="D39" s="29"/>
      <c r="E39" s="29"/>
      <c r="F39" s="33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29"/>
      <c r="B40" s="29"/>
      <c r="C40" s="32"/>
      <c r="D40" s="29"/>
      <c r="E40" s="29"/>
      <c r="F40" s="33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>
      <c r="A41" s="29"/>
      <c r="B41" s="29"/>
      <c r="C41" s="32"/>
      <c r="D41" s="29"/>
      <c r="E41" s="29"/>
      <c r="F41" s="33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>
      <c r="A42" s="29"/>
      <c r="B42" s="29"/>
      <c r="C42" s="32"/>
      <c r="D42" s="29"/>
      <c r="E42" s="29"/>
      <c r="F42" s="33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>
      <c r="A43" s="29"/>
      <c r="B43" s="29"/>
      <c r="C43" s="32"/>
      <c r="D43" s="29"/>
      <c r="E43" s="29"/>
      <c r="F43" s="33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>
      <c r="A44" s="29"/>
      <c r="B44" s="29"/>
      <c r="C44" s="32"/>
      <c r="D44" s="29"/>
      <c r="E44" s="29"/>
      <c r="F44" s="33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>
      <c r="A45" s="29"/>
      <c r="B45" s="29"/>
      <c r="C45" s="32"/>
      <c r="D45" s="29"/>
      <c r="E45" s="29"/>
      <c r="F45" s="33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>
      <c r="A46" s="29"/>
      <c r="B46" s="29"/>
      <c r="C46" s="32"/>
      <c r="D46" s="29"/>
      <c r="E46" s="29"/>
      <c r="F46" s="33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>
      <c r="A47" s="29"/>
      <c r="B47" s="29"/>
      <c r="C47" s="32"/>
      <c r="D47" s="29"/>
      <c r="E47" s="29"/>
      <c r="F47" s="33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>
      <c r="A48" s="29"/>
      <c r="B48" s="29"/>
      <c r="C48" s="32"/>
      <c r="D48" s="29"/>
      <c r="E48" s="29"/>
      <c r="F48" s="33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>
      <c r="A49" s="29"/>
      <c r="B49" s="29"/>
      <c r="C49" s="32"/>
      <c r="D49" s="29"/>
      <c r="E49" s="29"/>
      <c r="F49" s="33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>
      <c r="A50" s="29"/>
      <c r="B50" s="29"/>
      <c r="C50" s="32"/>
      <c r="D50" s="29"/>
      <c r="E50" s="29"/>
      <c r="F50" s="33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>
      <c r="A51" s="29"/>
      <c r="B51" s="29"/>
      <c r="C51" s="32"/>
      <c r="D51" s="29"/>
      <c r="E51" s="29"/>
      <c r="F51" s="33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>
      <c r="A52" s="29"/>
      <c r="B52" s="29"/>
      <c r="C52" s="32"/>
      <c r="D52" s="29"/>
      <c r="E52" s="29"/>
      <c r="F52" s="33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>
      <c r="A53" s="29"/>
      <c r="B53" s="29"/>
      <c r="C53" s="32"/>
      <c r="D53" s="29"/>
      <c r="E53" s="29"/>
      <c r="F53" s="33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>
      <c r="A54" s="29"/>
      <c r="B54" s="29"/>
      <c r="C54" s="32"/>
      <c r="D54" s="29"/>
      <c r="E54" s="29"/>
      <c r="F54" s="33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>
      <c r="A55" s="29"/>
      <c r="B55" s="29"/>
      <c r="C55" s="32"/>
      <c r="D55" s="29"/>
      <c r="E55" s="29"/>
      <c r="F55" s="33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>
      <c r="A56" s="29"/>
      <c r="B56" s="29"/>
      <c r="C56" s="32"/>
      <c r="D56" s="29"/>
      <c r="E56" s="29"/>
      <c r="F56" s="33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>
      <c r="A57" s="29"/>
      <c r="B57" s="29"/>
      <c r="C57" s="32"/>
      <c r="D57" s="29"/>
      <c r="E57" s="29"/>
      <c r="F57" s="33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>
      <c r="A58" s="29"/>
      <c r="B58" s="29"/>
      <c r="C58" s="32"/>
      <c r="D58" s="29"/>
      <c r="E58" s="29"/>
      <c r="F58" s="33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>
      <c r="A59" s="29"/>
      <c r="B59" s="29"/>
      <c r="C59" s="32"/>
      <c r="D59" s="29"/>
      <c r="E59" s="29"/>
      <c r="F59" s="33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>
      <c r="A60" s="29"/>
      <c r="B60" s="29"/>
      <c r="C60" s="32"/>
      <c r="D60" s="29"/>
      <c r="E60" s="29"/>
      <c r="F60" s="33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>
      <c r="A61" s="29"/>
      <c r="B61" s="29"/>
      <c r="C61" s="32"/>
      <c r="D61" s="29"/>
      <c r="E61" s="29"/>
      <c r="F61" s="33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>
      <c r="A62" s="29"/>
      <c r="B62" s="29"/>
      <c r="C62" s="32"/>
      <c r="D62" s="29"/>
      <c r="E62" s="29"/>
      <c r="F62" s="33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>
      <c r="A63" s="29"/>
      <c r="B63" s="29"/>
      <c r="C63" s="32"/>
      <c r="D63" s="29"/>
      <c r="E63" s="29"/>
      <c r="F63" s="33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>
      <c r="A64" s="29"/>
      <c r="B64" s="29"/>
      <c r="C64" s="32"/>
      <c r="D64" s="29"/>
      <c r="E64" s="29"/>
      <c r="F64" s="33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>
      <c r="A65" s="29"/>
      <c r="B65" s="29"/>
      <c r="C65" s="32"/>
      <c r="D65" s="29"/>
      <c r="E65" s="29"/>
      <c r="F65" s="33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>
      <c r="A66" s="29"/>
      <c r="B66" s="29"/>
      <c r="C66" s="32"/>
      <c r="D66" s="29"/>
      <c r="E66" s="29"/>
      <c r="F66" s="33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>
      <c r="A67" s="29"/>
      <c r="B67" s="29"/>
      <c r="C67" s="32"/>
      <c r="D67" s="29"/>
      <c r="E67" s="29"/>
      <c r="F67" s="33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>
      <c r="A68" s="29"/>
      <c r="B68" s="29"/>
      <c r="C68" s="32"/>
      <c r="D68" s="29"/>
      <c r="E68" s="29"/>
      <c r="F68" s="33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>
      <c r="A69" s="29"/>
      <c r="B69" s="29"/>
      <c r="C69" s="32"/>
      <c r="D69" s="29"/>
      <c r="E69" s="29"/>
      <c r="F69" s="33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>
      <c r="A70" s="29"/>
      <c r="B70" s="29"/>
      <c r="C70" s="32"/>
      <c r="D70" s="29"/>
      <c r="E70" s="29"/>
      <c r="F70" s="33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>
      <c r="A71" s="29"/>
      <c r="B71" s="29"/>
      <c r="C71" s="32"/>
      <c r="D71" s="29"/>
      <c r="E71" s="29"/>
      <c r="F71" s="33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>
      <c r="A72" s="29"/>
      <c r="B72" s="29"/>
      <c r="C72" s="32"/>
      <c r="D72" s="29"/>
      <c r="E72" s="29"/>
      <c r="F72" s="33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>
      <c r="A73" s="29"/>
      <c r="B73" s="29"/>
      <c r="C73" s="32"/>
      <c r="D73" s="29"/>
      <c r="E73" s="29"/>
      <c r="F73" s="33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>
      <c r="A74" s="29"/>
      <c r="B74" s="29"/>
      <c r="C74" s="32"/>
      <c r="D74" s="29"/>
      <c r="E74" s="29"/>
      <c r="F74" s="33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>
      <c r="A75" s="29"/>
      <c r="B75" s="29"/>
      <c r="C75" s="32"/>
      <c r="D75" s="29"/>
      <c r="E75" s="29"/>
      <c r="F75" s="33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>
      <c r="A76" s="29"/>
      <c r="B76" s="29"/>
      <c r="C76" s="32"/>
      <c r="D76" s="29"/>
      <c r="E76" s="29"/>
      <c r="F76" s="33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>
      <c r="A77" s="29"/>
      <c r="B77" s="29"/>
      <c r="C77" s="32"/>
      <c r="D77" s="29"/>
      <c r="E77" s="29"/>
      <c r="F77" s="33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>
      <c r="A78" s="29"/>
      <c r="B78" s="29"/>
      <c r="C78" s="32"/>
      <c r="D78" s="29"/>
      <c r="E78" s="29"/>
      <c r="F78" s="33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>
      <c r="A79" s="29"/>
      <c r="B79" s="29"/>
      <c r="C79" s="32"/>
      <c r="D79" s="29"/>
      <c r="E79" s="29"/>
      <c r="F79" s="33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>
      <c r="A80" s="29"/>
      <c r="B80" s="29"/>
      <c r="C80" s="32"/>
      <c r="D80" s="29"/>
      <c r="E80" s="29"/>
      <c r="F80" s="33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>
      <c r="A81" s="29"/>
      <c r="B81" s="29"/>
      <c r="C81" s="32"/>
      <c r="D81" s="29"/>
      <c r="E81" s="29"/>
      <c r="F81" s="33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>
      <c r="A82" s="29"/>
      <c r="B82" s="29"/>
      <c r="C82" s="32"/>
      <c r="D82" s="29"/>
      <c r="E82" s="29"/>
      <c r="F82" s="33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>
      <c r="A83" s="29"/>
      <c r="B83" s="29"/>
      <c r="C83" s="32"/>
      <c r="D83" s="29"/>
      <c r="E83" s="29"/>
      <c r="F83" s="33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>
      <c r="A84" s="29"/>
      <c r="B84" s="29"/>
      <c r="C84" s="32"/>
      <c r="D84" s="29"/>
      <c r="E84" s="29"/>
      <c r="F84" s="33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>
      <c r="A85" s="29"/>
      <c r="B85" s="29"/>
      <c r="C85" s="32"/>
      <c r="D85" s="29"/>
      <c r="E85" s="29"/>
      <c r="F85" s="33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>
      <c r="A86" s="29"/>
      <c r="B86" s="29"/>
      <c r="C86" s="32"/>
      <c r="D86" s="29"/>
      <c r="E86" s="29"/>
      <c r="F86" s="33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>
      <c r="A87" s="29"/>
      <c r="B87" s="29"/>
      <c r="C87" s="32"/>
      <c r="D87" s="29"/>
      <c r="E87" s="29"/>
      <c r="F87" s="33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>
      <c r="A88" s="29"/>
      <c r="B88" s="29"/>
      <c r="C88" s="32"/>
      <c r="D88" s="29"/>
      <c r="E88" s="29"/>
      <c r="F88" s="33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>
      <c r="A89" s="29"/>
      <c r="B89" s="29"/>
      <c r="C89" s="32"/>
      <c r="D89" s="29"/>
      <c r="E89" s="29"/>
      <c r="F89" s="33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>
      <c r="A90" s="29"/>
      <c r="B90" s="29"/>
      <c r="C90" s="32"/>
      <c r="D90" s="29"/>
      <c r="E90" s="29"/>
      <c r="F90" s="33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>
      <c r="A91" s="29"/>
      <c r="B91" s="29"/>
      <c r="C91" s="32"/>
      <c r="D91" s="29"/>
      <c r="E91" s="29"/>
      <c r="F91" s="33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>
      <c r="A92" s="29"/>
      <c r="B92" s="29"/>
      <c r="C92" s="32"/>
      <c r="D92" s="29"/>
      <c r="E92" s="29"/>
      <c r="F92" s="33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>
      <c r="A93" s="29"/>
      <c r="B93" s="29"/>
      <c r="C93" s="32"/>
      <c r="D93" s="29"/>
      <c r="E93" s="29"/>
      <c r="F93" s="33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>
      <c r="A94" s="29"/>
      <c r="B94" s="29"/>
      <c r="C94" s="32"/>
      <c r="D94" s="29"/>
      <c r="E94" s="29"/>
      <c r="F94" s="33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>
      <c r="A95" s="29"/>
      <c r="B95" s="29"/>
      <c r="C95" s="32"/>
      <c r="D95" s="29"/>
      <c r="E95" s="29"/>
      <c r="F95" s="33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>
      <c r="A96" s="29"/>
      <c r="B96" s="29"/>
      <c r="C96" s="32"/>
      <c r="D96" s="29"/>
      <c r="E96" s="29"/>
      <c r="F96" s="33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>
      <c r="A97" s="29"/>
      <c r="B97" s="29"/>
      <c r="C97" s="32"/>
      <c r="D97" s="29"/>
      <c r="E97" s="29"/>
      <c r="F97" s="33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>
      <c r="A98" s="29"/>
      <c r="B98" s="29"/>
      <c r="C98" s="32"/>
      <c r="D98" s="29"/>
      <c r="E98" s="29"/>
      <c r="F98" s="33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>
      <c r="A99" s="29"/>
      <c r="B99" s="29"/>
      <c r="C99" s="32"/>
      <c r="D99" s="29"/>
      <c r="E99" s="29"/>
      <c r="F99" s="33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>
      <c r="A100" s="29"/>
      <c r="B100" s="29"/>
      <c r="C100" s="32"/>
      <c r="D100" s="29"/>
      <c r="E100" s="29"/>
      <c r="F100" s="33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>
      <c r="A101" s="29"/>
      <c r="B101" s="29"/>
      <c r="C101" s="32"/>
      <c r="D101" s="29"/>
      <c r="E101" s="29"/>
      <c r="F101" s="33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>
      <c r="A102" s="29"/>
      <c r="B102" s="29"/>
      <c r="C102" s="32"/>
      <c r="D102" s="29"/>
      <c r="E102" s="29"/>
      <c r="F102" s="33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>
      <c r="A103" s="29"/>
      <c r="B103" s="29"/>
      <c r="C103" s="32"/>
      <c r="D103" s="29"/>
      <c r="E103" s="29"/>
      <c r="F103" s="33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>
      <c r="A104" s="29"/>
      <c r="B104" s="29"/>
      <c r="C104" s="32"/>
      <c r="D104" s="29"/>
      <c r="E104" s="29"/>
      <c r="F104" s="33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>
      <c r="A105" s="29"/>
      <c r="B105" s="29"/>
      <c r="C105" s="32"/>
      <c r="D105" s="29"/>
      <c r="E105" s="29"/>
      <c r="F105" s="33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>
      <c r="A106" s="29"/>
      <c r="B106" s="29"/>
      <c r="C106" s="32"/>
      <c r="D106" s="29"/>
      <c r="E106" s="29"/>
      <c r="F106" s="33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>
      <c r="A107" s="29"/>
      <c r="B107" s="29"/>
      <c r="C107" s="32"/>
      <c r="D107" s="29"/>
      <c r="E107" s="29"/>
      <c r="F107" s="33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>
      <c r="A108" s="29"/>
      <c r="B108" s="29"/>
      <c r="C108" s="32"/>
      <c r="D108" s="29"/>
      <c r="E108" s="29"/>
      <c r="F108" s="33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>
      <c r="A109" s="29"/>
      <c r="B109" s="29"/>
      <c r="C109" s="32"/>
      <c r="D109" s="29"/>
      <c r="E109" s="29"/>
      <c r="F109" s="33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>
      <c r="A110" s="29"/>
      <c r="B110" s="29"/>
      <c r="C110" s="32"/>
      <c r="D110" s="29"/>
      <c r="E110" s="29"/>
      <c r="F110" s="33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>
      <c r="A111" s="29"/>
      <c r="B111" s="29"/>
      <c r="C111" s="32"/>
      <c r="D111" s="29"/>
      <c r="E111" s="29"/>
      <c r="F111" s="33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>
      <c r="A112" s="29"/>
      <c r="B112" s="29"/>
      <c r="C112" s="32"/>
      <c r="D112" s="29"/>
      <c r="E112" s="29"/>
      <c r="F112" s="33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>
      <c r="A113" s="29"/>
      <c r="B113" s="29"/>
      <c r="C113" s="32"/>
      <c r="D113" s="29"/>
      <c r="E113" s="29"/>
      <c r="F113" s="33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>
      <c r="A114" s="29"/>
      <c r="B114" s="29"/>
      <c r="C114" s="32"/>
      <c r="D114" s="29"/>
      <c r="E114" s="29"/>
      <c r="F114" s="33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>
      <c r="A115" s="29"/>
      <c r="B115" s="29"/>
      <c r="C115" s="32"/>
      <c r="D115" s="29"/>
      <c r="E115" s="29"/>
      <c r="F115" s="33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>
      <c r="A116" s="29"/>
      <c r="B116" s="29"/>
      <c r="C116" s="32"/>
      <c r="D116" s="29"/>
      <c r="E116" s="29"/>
      <c r="F116" s="33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>
      <c r="A117" s="29"/>
      <c r="B117" s="29"/>
      <c r="C117" s="32"/>
      <c r="D117" s="29"/>
      <c r="E117" s="29"/>
      <c r="F117" s="33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>
      <c r="A118" s="29"/>
      <c r="B118" s="29"/>
      <c r="C118" s="32"/>
      <c r="D118" s="29"/>
      <c r="E118" s="29"/>
      <c r="F118" s="33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>
      <c r="A119" s="29"/>
      <c r="B119" s="29"/>
      <c r="C119" s="32"/>
      <c r="D119" s="29"/>
      <c r="E119" s="29"/>
      <c r="F119" s="33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>
      <c r="A120" s="29"/>
      <c r="B120" s="29"/>
      <c r="C120" s="32"/>
      <c r="D120" s="29"/>
      <c r="E120" s="29"/>
      <c r="F120" s="33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>
      <c r="A121" s="29"/>
      <c r="B121" s="29"/>
      <c r="C121" s="32"/>
      <c r="D121" s="29"/>
      <c r="E121" s="29"/>
      <c r="F121" s="33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>
      <c r="A122" s="29"/>
      <c r="B122" s="29"/>
      <c r="C122" s="32"/>
      <c r="D122" s="29"/>
      <c r="E122" s="29"/>
      <c r="F122" s="33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>
      <c r="A123" s="29"/>
      <c r="B123" s="29"/>
      <c r="C123" s="32"/>
      <c r="D123" s="29"/>
      <c r="E123" s="29"/>
      <c r="F123" s="33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>
      <c r="A124" s="29"/>
      <c r="B124" s="29"/>
      <c r="C124" s="32"/>
      <c r="D124" s="29"/>
      <c r="E124" s="29"/>
      <c r="F124" s="33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>
      <c r="A125" s="29"/>
      <c r="B125" s="29"/>
      <c r="C125" s="32"/>
      <c r="D125" s="29"/>
      <c r="E125" s="29"/>
      <c r="F125" s="33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>
      <c r="A126" s="29"/>
      <c r="B126" s="29"/>
      <c r="C126" s="32"/>
      <c r="D126" s="29"/>
      <c r="E126" s="29"/>
      <c r="F126" s="33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>
      <c r="A127" s="29"/>
      <c r="B127" s="29"/>
      <c r="C127" s="32"/>
      <c r="D127" s="29"/>
      <c r="E127" s="29"/>
      <c r="F127" s="33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>
      <c r="A128" s="29"/>
      <c r="B128" s="29"/>
      <c r="C128" s="32"/>
      <c r="D128" s="29"/>
      <c r="E128" s="29"/>
      <c r="F128" s="33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>
      <c r="A129" s="29"/>
      <c r="B129" s="29"/>
      <c r="C129" s="32"/>
      <c r="D129" s="29"/>
      <c r="E129" s="29"/>
      <c r="F129" s="33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>
      <c r="A130" s="29"/>
      <c r="B130" s="29"/>
      <c r="C130" s="32"/>
      <c r="D130" s="29"/>
      <c r="E130" s="29"/>
      <c r="F130" s="33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>
      <c r="A131" s="29"/>
      <c r="B131" s="29"/>
      <c r="C131" s="32"/>
      <c r="D131" s="29"/>
      <c r="E131" s="29"/>
      <c r="F131" s="33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>
      <c r="A132" s="29"/>
      <c r="B132" s="29"/>
      <c r="C132" s="32"/>
      <c r="D132" s="29"/>
      <c r="E132" s="29"/>
      <c r="F132" s="33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>
      <c r="A133" s="29"/>
      <c r="B133" s="29"/>
      <c r="C133" s="32"/>
      <c r="D133" s="29"/>
      <c r="E133" s="29"/>
      <c r="F133" s="33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>
      <c r="A134" s="29"/>
      <c r="B134" s="29"/>
      <c r="C134" s="32"/>
      <c r="D134" s="29"/>
      <c r="E134" s="29"/>
      <c r="F134" s="33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>
      <c r="A135" s="29"/>
      <c r="B135" s="29"/>
      <c r="C135" s="32"/>
      <c r="D135" s="29"/>
      <c r="E135" s="29"/>
      <c r="F135" s="33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>
      <c r="A136" s="29"/>
      <c r="B136" s="29"/>
      <c r="C136" s="32"/>
      <c r="D136" s="29"/>
      <c r="E136" s="29"/>
      <c r="F136" s="33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>
      <c r="A137" s="29"/>
      <c r="B137" s="29"/>
      <c r="C137" s="32"/>
      <c r="D137" s="29"/>
      <c r="E137" s="29"/>
      <c r="F137" s="33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>
      <c r="A138" s="29"/>
      <c r="B138" s="29"/>
      <c r="C138" s="32"/>
      <c r="D138" s="29"/>
      <c r="E138" s="29"/>
      <c r="F138" s="33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>
      <c r="A139" s="29"/>
      <c r="B139" s="29"/>
      <c r="C139" s="32"/>
      <c r="D139" s="29"/>
      <c r="E139" s="29"/>
      <c r="F139" s="33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>
      <c r="A140" s="29"/>
      <c r="B140" s="29"/>
      <c r="C140" s="32"/>
      <c r="D140" s="29"/>
      <c r="E140" s="29"/>
      <c r="F140" s="33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>
      <c r="A141" s="29"/>
      <c r="B141" s="29"/>
      <c r="C141" s="32"/>
      <c r="D141" s="29"/>
      <c r="E141" s="29"/>
      <c r="F141" s="33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>
      <c r="A142" s="29"/>
      <c r="B142" s="29"/>
      <c r="C142" s="32"/>
      <c r="D142" s="29"/>
      <c r="E142" s="29"/>
      <c r="F142" s="33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>
      <c r="A143" s="29"/>
      <c r="B143" s="29"/>
      <c r="C143" s="32"/>
      <c r="D143" s="29"/>
      <c r="E143" s="29"/>
      <c r="F143" s="33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>
      <c r="A144" s="29"/>
      <c r="B144" s="29"/>
      <c r="C144" s="32"/>
      <c r="D144" s="29"/>
      <c r="E144" s="29"/>
      <c r="F144" s="33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>
      <c r="A145" s="29"/>
      <c r="B145" s="29"/>
      <c r="C145" s="32"/>
      <c r="D145" s="29"/>
      <c r="E145" s="29"/>
      <c r="F145" s="33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>
      <c r="A146" s="29"/>
      <c r="B146" s="29"/>
      <c r="C146" s="32"/>
      <c r="D146" s="29"/>
      <c r="E146" s="29"/>
      <c r="F146" s="33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>
      <c r="A147" s="29"/>
      <c r="B147" s="29"/>
      <c r="C147" s="32"/>
      <c r="D147" s="29"/>
      <c r="E147" s="29"/>
      <c r="F147" s="33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>
      <c r="A148" s="29"/>
      <c r="B148" s="29"/>
      <c r="C148" s="32"/>
      <c r="D148" s="29"/>
      <c r="E148" s="29"/>
      <c r="F148" s="33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>
      <c r="A149" s="29"/>
      <c r="B149" s="29"/>
      <c r="C149" s="32"/>
      <c r="D149" s="29"/>
      <c r="E149" s="29"/>
      <c r="F149" s="33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>
      <c r="A150" s="29"/>
      <c r="B150" s="29"/>
      <c r="C150" s="32"/>
      <c r="D150" s="29"/>
      <c r="E150" s="29"/>
      <c r="F150" s="33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>
      <c r="A151" s="29"/>
      <c r="B151" s="29"/>
      <c r="C151" s="32"/>
      <c r="D151" s="29"/>
      <c r="E151" s="29"/>
      <c r="F151" s="33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>
      <c r="A152" s="29"/>
      <c r="B152" s="29"/>
      <c r="C152" s="32"/>
      <c r="D152" s="29"/>
      <c r="E152" s="29"/>
      <c r="F152" s="33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>
      <c r="A153" s="29"/>
      <c r="B153" s="29"/>
      <c r="C153" s="32"/>
      <c r="D153" s="29"/>
      <c r="E153" s="29"/>
      <c r="F153" s="33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29"/>
      <c r="B154" s="29"/>
      <c r="C154" s="32"/>
      <c r="D154" s="29"/>
      <c r="E154" s="29"/>
      <c r="F154" s="33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>
      <c r="A155" s="29"/>
      <c r="B155" s="29"/>
      <c r="C155" s="32"/>
      <c r="D155" s="29"/>
      <c r="E155" s="29"/>
      <c r="F155" s="33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29"/>
      <c r="B156" s="29"/>
      <c r="C156" s="32"/>
      <c r="D156" s="29"/>
      <c r="E156" s="29"/>
      <c r="F156" s="33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>
      <c r="A157" s="29"/>
      <c r="B157" s="29"/>
      <c r="C157" s="32"/>
      <c r="D157" s="29"/>
      <c r="E157" s="29"/>
      <c r="F157" s="33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>
      <c r="A158" s="29"/>
      <c r="B158" s="29"/>
      <c r="C158" s="32"/>
      <c r="D158" s="29"/>
      <c r="E158" s="29"/>
      <c r="F158" s="33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>
      <c r="A159" s="29"/>
      <c r="B159" s="29"/>
      <c r="C159" s="32"/>
      <c r="D159" s="29"/>
      <c r="E159" s="29"/>
      <c r="F159" s="33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29"/>
      <c r="B160" s="29"/>
      <c r="C160" s="32"/>
      <c r="D160" s="29"/>
      <c r="E160" s="29"/>
      <c r="F160" s="33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>
      <c r="A161" s="29"/>
      <c r="B161" s="29"/>
      <c r="C161" s="32"/>
      <c r="D161" s="29"/>
      <c r="E161" s="29"/>
      <c r="F161" s="33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>
      <c r="A162" s="29"/>
      <c r="B162" s="29"/>
      <c r="C162" s="32"/>
      <c r="D162" s="29"/>
      <c r="E162" s="29"/>
      <c r="F162" s="33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>
      <c r="A163" s="29"/>
      <c r="B163" s="29"/>
      <c r="C163" s="32"/>
      <c r="D163" s="29"/>
      <c r="E163" s="29"/>
      <c r="F163" s="33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29"/>
      <c r="B164" s="29"/>
      <c r="C164" s="32"/>
      <c r="D164" s="29"/>
      <c r="E164" s="29"/>
      <c r="F164" s="33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>
      <c r="A165" s="29"/>
      <c r="B165" s="29"/>
      <c r="C165" s="32"/>
      <c r="D165" s="29"/>
      <c r="E165" s="29"/>
      <c r="F165" s="33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>
      <c r="A166" s="29"/>
      <c r="B166" s="29"/>
      <c r="C166" s="32"/>
      <c r="D166" s="29"/>
      <c r="E166" s="29"/>
      <c r="F166" s="33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>
      <c r="A167" s="29"/>
      <c r="B167" s="29"/>
      <c r="C167" s="32"/>
      <c r="D167" s="29"/>
      <c r="E167" s="29"/>
      <c r="F167" s="33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29"/>
      <c r="B168" s="29"/>
      <c r="C168" s="32"/>
      <c r="D168" s="29"/>
      <c r="E168" s="29"/>
      <c r="F168" s="33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>
      <c r="A169" s="29"/>
      <c r="B169" s="29"/>
      <c r="C169" s="32"/>
      <c r="D169" s="29"/>
      <c r="E169" s="29"/>
      <c r="F169" s="33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>
      <c r="A170" s="29"/>
      <c r="B170" s="29"/>
      <c r="C170" s="32"/>
      <c r="D170" s="29"/>
      <c r="E170" s="29"/>
      <c r="F170" s="33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>
      <c r="A171" s="29"/>
      <c r="B171" s="29"/>
      <c r="C171" s="32"/>
      <c r="D171" s="29"/>
      <c r="E171" s="29"/>
      <c r="F171" s="33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>
      <c r="A172" s="29"/>
      <c r="B172" s="29"/>
      <c r="C172" s="32"/>
      <c r="D172" s="29"/>
      <c r="E172" s="29"/>
      <c r="F172" s="33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>
      <c r="A173" s="29"/>
      <c r="B173" s="29"/>
      <c r="C173" s="32"/>
      <c r="D173" s="29"/>
      <c r="E173" s="29"/>
      <c r="F173" s="33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>
      <c r="A174" s="29"/>
      <c r="B174" s="29"/>
      <c r="C174" s="32"/>
      <c r="D174" s="29"/>
      <c r="E174" s="29"/>
      <c r="F174" s="33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>
      <c r="A175" s="29"/>
      <c r="B175" s="29"/>
      <c r="C175" s="32"/>
      <c r="D175" s="29"/>
      <c r="E175" s="29"/>
      <c r="F175" s="33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>
      <c r="A176" s="29"/>
      <c r="B176" s="29"/>
      <c r="C176" s="32"/>
      <c r="D176" s="29"/>
      <c r="E176" s="29"/>
      <c r="F176" s="33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>
      <c r="A177" s="29"/>
      <c r="B177" s="29"/>
      <c r="C177" s="32"/>
      <c r="D177" s="29"/>
      <c r="E177" s="29"/>
      <c r="F177" s="33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>
      <c r="A178" s="29"/>
      <c r="B178" s="29"/>
      <c r="C178" s="32"/>
      <c r="D178" s="29"/>
      <c r="E178" s="29"/>
      <c r="F178" s="33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>
      <c r="A179" s="29"/>
      <c r="B179" s="29"/>
      <c r="C179" s="32"/>
      <c r="D179" s="29"/>
      <c r="E179" s="29"/>
      <c r="F179" s="33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>
      <c r="A180" s="29"/>
      <c r="B180" s="29"/>
      <c r="C180" s="32"/>
      <c r="D180" s="29"/>
      <c r="E180" s="29"/>
      <c r="F180" s="33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>
      <c r="A181" s="29"/>
      <c r="B181" s="29"/>
      <c r="C181" s="32"/>
      <c r="D181" s="29"/>
      <c r="E181" s="29"/>
      <c r="F181" s="33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>
      <c r="A182" s="29"/>
      <c r="B182" s="29"/>
      <c r="C182" s="32"/>
      <c r="D182" s="29"/>
      <c r="E182" s="29"/>
      <c r="F182" s="33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>
      <c r="A183" s="29"/>
      <c r="B183" s="29"/>
      <c r="C183" s="32"/>
      <c r="D183" s="29"/>
      <c r="E183" s="29"/>
      <c r="F183" s="33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>
      <c r="A184" s="29"/>
      <c r="B184" s="29"/>
      <c r="C184" s="32"/>
      <c r="D184" s="29"/>
      <c r="E184" s="29"/>
      <c r="F184" s="33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>
      <c r="A185" s="29"/>
      <c r="B185" s="29"/>
      <c r="C185" s="32"/>
      <c r="D185" s="29"/>
      <c r="E185" s="29"/>
      <c r="F185" s="33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>
      <c r="A186" s="29"/>
      <c r="B186" s="29"/>
      <c r="C186" s="32"/>
      <c r="D186" s="29"/>
      <c r="E186" s="29"/>
      <c r="F186" s="33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>
      <c r="A187" s="29"/>
      <c r="B187" s="29"/>
      <c r="C187" s="32"/>
      <c r="D187" s="29"/>
      <c r="E187" s="29"/>
      <c r="F187" s="33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>
      <c r="A188" s="29"/>
      <c r="B188" s="29"/>
      <c r="C188" s="32"/>
      <c r="D188" s="29"/>
      <c r="E188" s="29"/>
      <c r="F188" s="33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>
      <c r="A189" s="29"/>
      <c r="B189" s="29"/>
      <c r="C189" s="32"/>
      <c r="D189" s="29"/>
      <c r="E189" s="29"/>
      <c r="F189" s="33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>
      <c r="A190" s="29"/>
      <c r="B190" s="29"/>
      <c r="C190" s="32"/>
      <c r="D190" s="29"/>
      <c r="E190" s="29"/>
      <c r="F190" s="33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>
      <c r="A191" s="29"/>
      <c r="B191" s="29"/>
      <c r="C191" s="32"/>
      <c r="D191" s="29"/>
      <c r="E191" s="29"/>
      <c r="F191" s="33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>
      <c r="A192" s="29"/>
      <c r="B192" s="29"/>
      <c r="C192" s="32"/>
      <c r="D192" s="29"/>
      <c r="E192" s="29"/>
      <c r="F192" s="33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>
      <c r="A193" s="29"/>
      <c r="B193" s="29"/>
      <c r="C193" s="32"/>
      <c r="D193" s="29"/>
      <c r="E193" s="29"/>
      <c r="F193" s="33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>
      <c r="A194" s="29"/>
      <c r="B194" s="29"/>
      <c r="C194" s="32"/>
      <c r="D194" s="29"/>
      <c r="E194" s="29"/>
      <c r="F194" s="33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>
      <c r="A195" s="29"/>
      <c r="B195" s="29"/>
      <c r="C195" s="32"/>
      <c r="D195" s="29"/>
      <c r="E195" s="29"/>
      <c r="F195" s="33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>
      <c r="A196" s="29"/>
      <c r="B196" s="29"/>
      <c r="C196" s="32"/>
      <c r="D196" s="29"/>
      <c r="E196" s="29"/>
      <c r="F196" s="33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>
      <c r="A197" s="29"/>
      <c r="B197" s="29"/>
      <c r="C197" s="32"/>
      <c r="D197" s="29"/>
      <c r="E197" s="29"/>
      <c r="F197" s="33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>
      <c r="A198" s="29"/>
      <c r="B198" s="29"/>
      <c r="C198" s="32"/>
      <c r="D198" s="29"/>
      <c r="E198" s="29"/>
      <c r="F198" s="33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>
      <c r="A199" s="29"/>
      <c r="B199" s="29"/>
      <c r="C199" s="32"/>
      <c r="D199" s="29"/>
      <c r="E199" s="29"/>
      <c r="F199" s="33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>
      <c r="A200" s="29"/>
      <c r="B200" s="29"/>
      <c r="C200" s="32"/>
      <c r="D200" s="29"/>
      <c r="E200" s="29"/>
      <c r="F200" s="33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>
      <c r="A201" s="29"/>
      <c r="B201" s="29"/>
      <c r="C201" s="32"/>
      <c r="D201" s="29"/>
      <c r="E201" s="29"/>
      <c r="F201" s="33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>
      <c r="A202" s="29"/>
      <c r="B202" s="29"/>
      <c r="C202" s="32"/>
      <c r="D202" s="29"/>
      <c r="E202" s="29"/>
      <c r="F202" s="33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>
      <c r="A203" s="29"/>
      <c r="B203" s="29"/>
      <c r="C203" s="32"/>
      <c r="D203" s="29"/>
      <c r="E203" s="29"/>
      <c r="F203" s="33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>
      <c r="A204" s="29"/>
      <c r="B204" s="29"/>
      <c r="C204" s="32"/>
      <c r="D204" s="29"/>
      <c r="E204" s="29"/>
      <c r="F204" s="33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>
      <c r="A205" s="29"/>
      <c r="B205" s="29"/>
      <c r="C205" s="32"/>
      <c r="D205" s="29"/>
      <c r="E205" s="29"/>
      <c r="F205" s="33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>
      <c r="A206" s="29"/>
      <c r="B206" s="29"/>
      <c r="C206" s="32"/>
      <c r="D206" s="29"/>
      <c r="E206" s="29"/>
      <c r="F206" s="33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>
      <c r="A207" s="29"/>
      <c r="B207" s="29"/>
      <c r="C207" s="32"/>
      <c r="D207" s="29"/>
      <c r="E207" s="29"/>
      <c r="F207" s="33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>
      <c r="A208" s="29"/>
      <c r="B208" s="29"/>
      <c r="C208" s="32"/>
      <c r="D208" s="29"/>
      <c r="E208" s="29"/>
      <c r="F208" s="33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>
      <c r="A209" s="29"/>
      <c r="B209" s="29"/>
      <c r="C209" s="32"/>
      <c r="D209" s="29"/>
      <c r="E209" s="29"/>
      <c r="F209" s="33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>
      <c r="A210" s="29"/>
      <c r="B210" s="29"/>
      <c r="C210" s="32"/>
      <c r="D210" s="29"/>
      <c r="E210" s="29"/>
      <c r="F210" s="33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>
      <c r="A211" s="29"/>
      <c r="B211" s="29"/>
      <c r="C211" s="32"/>
      <c r="D211" s="29"/>
      <c r="E211" s="29"/>
      <c r="F211" s="33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>
      <c r="A212" s="29"/>
      <c r="B212" s="29"/>
      <c r="C212" s="32"/>
      <c r="D212" s="29"/>
      <c r="E212" s="29"/>
      <c r="F212" s="33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>
      <c r="A213" s="29"/>
      <c r="B213" s="29"/>
      <c r="C213" s="32"/>
      <c r="D213" s="29"/>
      <c r="E213" s="29"/>
      <c r="F213" s="33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>
      <c r="A214" s="29"/>
      <c r="B214" s="29"/>
      <c r="C214" s="32"/>
      <c r="D214" s="29"/>
      <c r="E214" s="29"/>
      <c r="F214" s="33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>
      <c r="A215" s="29"/>
      <c r="B215" s="29"/>
      <c r="C215" s="32"/>
      <c r="D215" s="29"/>
      <c r="E215" s="29"/>
      <c r="F215" s="33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>
      <c r="A216" s="29"/>
      <c r="B216" s="29"/>
      <c r="C216" s="32"/>
      <c r="D216" s="29"/>
      <c r="E216" s="29"/>
      <c r="F216" s="33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>
      <c r="A217" s="29"/>
      <c r="B217" s="29"/>
      <c r="C217" s="32"/>
      <c r="D217" s="29"/>
      <c r="E217" s="29"/>
      <c r="F217" s="33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>
      <c r="A218" s="29"/>
      <c r="B218" s="29"/>
      <c r="C218" s="32"/>
      <c r="D218" s="29"/>
      <c r="E218" s="29"/>
      <c r="F218" s="33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>
      <c r="A219" s="29"/>
      <c r="B219" s="29"/>
      <c r="C219" s="32"/>
      <c r="D219" s="29"/>
      <c r="E219" s="29"/>
      <c r="F219" s="33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>
      <c r="A220" s="29"/>
      <c r="B220" s="29"/>
      <c r="C220" s="32"/>
      <c r="D220" s="29"/>
      <c r="E220" s="29"/>
      <c r="F220" s="33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>
      <c r="A221" s="29"/>
      <c r="B221" s="29"/>
      <c r="C221" s="32"/>
      <c r="D221" s="29"/>
      <c r="E221" s="29"/>
      <c r="F221" s="33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>
      <c r="A222" s="29"/>
      <c r="B222" s="29"/>
      <c r="C222" s="32"/>
      <c r="D222" s="29"/>
      <c r="E222" s="29"/>
      <c r="F222" s="33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>
      <c r="A223" s="29"/>
      <c r="B223" s="29"/>
      <c r="C223" s="32"/>
      <c r="D223" s="29"/>
      <c r="E223" s="29"/>
      <c r="F223" s="33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>
      <c r="A224" s="29"/>
      <c r="B224" s="29"/>
      <c r="C224" s="32"/>
      <c r="D224" s="29"/>
      <c r="E224" s="29"/>
      <c r="F224" s="33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>
      <c r="A225" s="29"/>
      <c r="B225" s="29"/>
      <c r="C225" s="32"/>
      <c r="D225" s="29"/>
      <c r="E225" s="29"/>
      <c r="F225" s="33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>
      <c r="A226" s="29"/>
      <c r="B226" s="29"/>
      <c r="C226" s="32"/>
      <c r="D226" s="29"/>
      <c r="E226" s="29"/>
      <c r="F226" s="33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>
      <c r="A227" s="29"/>
      <c r="B227" s="29"/>
      <c r="C227" s="32"/>
      <c r="D227" s="29"/>
      <c r="E227" s="29"/>
      <c r="F227" s="33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>
      <c r="A228" s="29"/>
      <c r="B228" s="29"/>
      <c r="C228" s="32"/>
      <c r="D228" s="29"/>
      <c r="E228" s="29"/>
      <c r="F228" s="33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>
      <c r="A229" s="29"/>
      <c r="B229" s="29"/>
      <c r="C229" s="32"/>
      <c r="D229" s="29"/>
      <c r="E229" s="29"/>
      <c r="F229" s="33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>
      <c r="A230" s="29"/>
      <c r="B230" s="29"/>
      <c r="C230" s="32"/>
      <c r="D230" s="29"/>
      <c r="E230" s="29"/>
      <c r="F230" s="33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>
      <c r="A231" s="29"/>
      <c r="B231" s="29"/>
      <c r="C231" s="32"/>
      <c r="D231" s="29"/>
      <c r="E231" s="29"/>
      <c r="F231" s="33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>
      <c r="A232" s="29"/>
      <c r="B232" s="29"/>
      <c r="C232" s="32"/>
      <c r="D232" s="29"/>
      <c r="E232" s="29"/>
      <c r="F232" s="33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>
      <c r="A233" s="29"/>
      <c r="B233" s="29"/>
      <c r="C233" s="32"/>
      <c r="D233" s="29"/>
      <c r="E233" s="29"/>
      <c r="F233" s="33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>
      <c r="A234" s="29"/>
      <c r="B234" s="29"/>
      <c r="C234" s="32"/>
      <c r="D234" s="29"/>
      <c r="E234" s="29"/>
      <c r="F234" s="33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>
      <c r="A235" s="29"/>
      <c r="B235" s="29"/>
      <c r="C235" s="32"/>
      <c r="D235" s="29"/>
      <c r="E235" s="29"/>
      <c r="F235" s="33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>
      <c r="A236" s="29"/>
      <c r="B236" s="29"/>
      <c r="C236" s="32"/>
      <c r="D236" s="29"/>
      <c r="E236" s="29"/>
      <c r="F236" s="33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>
      <c r="A237" s="29"/>
      <c r="B237" s="29"/>
      <c r="C237" s="32"/>
      <c r="D237" s="29"/>
      <c r="E237" s="29"/>
      <c r="F237" s="33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>
      <c r="A238" s="29"/>
      <c r="B238" s="29"/>
      <c r="C238" s="32"/>
      <c r="D238" s="29"/>
      <c r="E238" s="29"/>
      <c r="F238" s="33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>
      <c r="A239" s="29"/>
      <c r="B239" s="29"/>
      <c r="C239" s="32"/>
      <c r="D239" s="29"/>
      <c r="E239" s="29"/>
      <c r="F239" s="33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>
      <c r="A240" s="29"/>
      <c r="B240" s="29"/>
      <c r="C240" s="32"/>
      <c r="D240" s="29"/>
      <c r="E240" s="29"/>
      <c r="F240" s="33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>
      <c r="A241" s="29"/>
      <c r="B241" s="29"/>
      <c r="C241" s="32"/>
      <c r="D241" s="29"/>
      <c r="E241" s="29"/>
      <c r="F241" s="33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>
      <c r="A242" s="29"/>
      <c r="B242" s="29"/>
      <c r="C242" s="32"/>
      <c r="D242" s="29"/>
      <c r="E242" s="29"/>
      <c r="F242" s="33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>
      <c r="A243" s="29"/>
      <c r="B243" s="29"/>
      <c r="C243" s="32"/>
      <c r="D243" s="29"/>
      <c r="E243" s="29"/>
      <c r="F243" s="33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>
      <c r="A244" s="29"/>
      <c r="B244" s="29"/>
      <c r="C244" s="32"/>
      <c r="D244" s="29"/>
      <c r="E244" s="29"/>
      <c r="F244" s="33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>
      <c r="A245" s="29"/>
      <c r="B245" s="29"/>
      <c r="C245" s="32"/>
      <c r="D245" s="29"/>
      <c r="E245" s="29"/>
      <c r="F245" s="33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>
      <c r="A246" s="29"/>
      <c r="B246" s="29"/>
      <c r="C246" s="32"/>
      <c r="D246" s="29"/>
      <c r="E246" s="29"/>
      <c r="F246" s="33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>
      <c r="A247" s="29"/>
      <c r="B247" s="29"/>
      <c r="C247" s="32"/>
      <c r="D247" s="29"/>
      <c r="E247" s="29"/>
      <c r="F247" s="33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>
      <c r="A248" s="29"/>
      <c r="B248" s="29"/>
      <c r="C248" s="32"/>
      <c r="D248" s="29"/>
      <c r="E248" s="29"/>
      <c r="F248" s="33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>
      <c r="A249" s="29"/>
      <c r="B249" s="29"/>
      <c r="C249" s="32"/>
      <c r="D249" s="29"/>
      <c r="E249" s="29"/>
      <c r="F249" s="33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>
      <c r="A250" s="29"/>
      <c r="B250" s="29"/>
      <c r="C250" s="32"/>
      <c r="D250" s="29"/>
      <c r="E250" s="29"/>
      <c r="F250" s="33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>
      <c r="A251" s="29"/>
      <c r="B251" s="29"/>
      <c r="C251" s="32"/>
      <c r="D251" s="29"/>
      <c r="E251" s="29"/>
      <c r="F251" s="33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>
      <c r="A252" s="29"/>
      <c r="B252" s="29"/>
      <c r="C252" s="32"/>
      <c r="D252" s="29"/>
      <c r="E252" s="29"/>
      <c r="F252" s="33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>
      <c r="A253" s="29"/>
      <c r="B253" s="29"/>
      <c r="C253" s="32"/>
      <c r="D253" s="29"/>
      <c r="E253" s="29"/>
      <c r="F253" s="33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>
      <c r="A254" s="29"/>
      <c r="B254" s="29"/>
      <c r="C254" s="32"/>
      <c r="D254" s="29"/>
      <c r="E254" s="29"/>
      <c r="F254" s="33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>
      <c r="A255" s="29"/>
      <c r="B255" s="29"/>
      <c r="C255" s="32"/>
      <c r="D255" s="29"/>
      <c r="E255" s="29"/>
      <c r="F255" s="33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>
      <c r="A256" s="29"/>
      <c r="B256" s="29"/>
      <c r="C256" s="32"/>
      <c r="D256" s="29"/>
      <c r="E256" s="29"/>
      <c r="F256" s="33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>
      <c r="A257" s="29"/>
      <c r="B257" s="29"/>
      <c r="C257" s="32"/>
      <c r="D257" s="29"/>
      <c r="E257" s="29"/>
      <c r="F257" s="33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>
      <c r="A258" s="29"/>
      <c r="B258" s="29"/>
      <c r="C258" s="32"/>
      <c r="D258" s="29"/>
      <c r="E258" s="29"/>
      <c r="F258" s="33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>
      <c r="A259" s="29"/>
      <c r="B259" s="29"/>
      <c r="C259" s="32"/>
      <c r="D259" s="29"/>
      <c r="E259" s="29"/>
      <c r="F259" s="33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>
      <c r="A260" s="29"/>
      <c r="B260" s="29"/>
      <c r="C260" s="32"/>
      <c r="D260" s="29"/>
      <c r="E260" s="29"/>
      <c r="F260" s="33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>
      <c r="A261" s="29"/>
      <c r="B261" s="29"/>
      <c r="C261" s="32"/>
      <c r="D261" s="29"/>
      <c r="E261" s="29"/>
      <c r="F261" s="33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>
      <c r="A262" s="29"/>
      <c r="B262" s="29"/>
      <c r="C262" s="32"/>
      <c r="D262" s="29"/>
      <c r="E262" s="29"/>
      <c r="F262" s="33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>
      <c r="A263" s="29"/>
      <c r="B263" s="29"/>
      <c r="C263" s="32"/>
      <c r="D263" s="29"/>
      <c r="E263" s="29"/>
      <c r="F263" s="33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>
      <c r="A264" s="29"/>
      <c r="B264" s="29"/>
      <c r="C264" s="32"/>
      <c r="D264" s="29"/>
      <c r="E264" s="29"/>
      <c r="F264" s="33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>
      <c r="A265" s="29"/>
      <c r="B265" s="29"/>
      <c r="C265" s="32"/>
      <c r="D265" s="29"/>
      <c r="E265" s="29"/>
      <c r="F265" s="33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>
      <c r="A266" s="29"/>
      <c r="B266" s="29"/>
      <c r="C266" s="32"/>
      <c r="D266" s="29"/>
      <c r="E266" s="29"/>
      <c r="F266" s="33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>
      <c r="A267" s="29"/>
      <c r="B267" s="29"/>
      <c r="C267" s="32"/>
      <c r="D267" s="29"/>
      <c r="E267" s="29"/>
      <c r="F267" s="33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>
      <c r="A268" s="29"/>
      <c r="B268" s="29"/>
      <c r="C268" s="32"/>
      <c r="D268" s="29"/>
      <c r="E268" s="29"/>
      <c r="F268" s="33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>
      <c r="A269" s="29"/>
      <c r="B269" s="29"/>
      <c r="C269" s="32"/>
      <c r="D269" s="29"/>
      <c r="E269" s="29"/>
      <c r="F269" s="33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>
      <c r="A270" s="29"/>
      <c r="B270" s="29"/>
      <c r="C270" s="32"/>
      <c r="D270" s="29"/>
      <c r="E270" s="29"/>
      <c r="F270" s="33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>
      <c r="A271" s="29"/>
      <c r="B271" s="29"/>
      <c r="C271" s="32"/>
      <c r="D271" s="29"/>
      <c r="E271" s="29"/>
      <c r="F271" s="33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>
      <c r="A272" s="29"/>
      <c r="B272" s="29"/>
      <c r="C272" s="32"/>
      <c r="D272" s="29"/>
      <c r="E272" s="29"/>
      <c r="F272" s="33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>
      <c r="A273" s="29"/>
      <c r="B273" s="29"/>
      <c r="C273" s="32"/>
      <c r="D273" s="29"/>
      <c r="E273" s="29"/>
      <c r="F273" s="33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>
      <c r="A274" s="29"/>
      <c r="B274" s="29"/>
      <c r="C274" s="32"/>
      <c r="D274" s="29"/>
      <c r="E274" s="29"/>
      <c r="F274" s="33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>
      <c r="A275" s="29"/>
      <c r="B275" s="29"/>
      <c r="C275" s="32"/>
      <c r="D275" s="29"/>
      <c r="E275" s="29"/>
      <c r="F275" s="33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>
      <c r="A276" s="29"/>
      <c r="B276" s="29"/>
      <c r="C276" s="32"/>
      <c r="D276" s="29"/>
      <c r="E276" s="29"/>
      <c r="F276" s="33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>
      <c r="A277" s="29"/>
      <c r="B277" s="29"/>
      <c r="C277" s="32"/>
      <c r="D277" s="29"/>
      <c r="E277" s="29"/>
      <c r="F277" s="33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>
      <c r="A278" s="29"/>
      <c r="B278" s="29"/>
      <c r="C278" s="32"/>
      <c r="D278" s="29"/>
      <c r="E278" s="29"/>
      <c r="F278" s="33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>
      <c r="A279" s="29"/>
      <c r="B279" s="29"/>
      <c r="C279" s="32"/>
      <c r="D279" s="29"/>
      <c r="E279" s="29"/>
      <c r="F279" s="33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>
      <c r="A280" s="29"/>
      <c r="B280" s="29"/>
      <c r="C280" s="32"/>
      <c r="D280" s="29"/>
      <c r="E280" s="29"/>
      <c r="F280" s="33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>
      <c r="A281" s="29"/>
      <c r="B281" s="29"/>
      <c r="C281" s="32"/>
      <c r="D281" s="29"/>
      <c r="E281" s="29"/>
      <c r="F281" s="33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>
      <c r="A282" s="29"/>
      <c r="B282" s="29"/>
      <c r="C282" s="32"/>
      <c r="D282" s="29"/>
      <c r="E282" s="29"/>
      <c r="F282" s="33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>
      <c r="A283" s="29"/>
      <c r="B283" s="29"/>
      <c r="C283" s="32"/>
      <c r="D283" s="29"/>
      <c r="E283" s="29"/>
      <c r="F283" s="33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>
      <c r="A284" s="29"/>
      <c r="B284" s="29"/>
      <c r="C284" s="32"/>
      <c r="D284" s="29"/>
      <c r="E284" s="29"/>
      <c r="F284" s="33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>
      <c r="A285" s="29"/>
      <c r="B285" s="29"/>
      <c r="C285" s="32"/>
      <c r="D285" s="29"/>
      <c r="E285" s="29"/>
      <c r="F285" s="33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>
      <c r="A286" s="29"/>
      <c r="B286" s="29"/>
      <c r="C286" s="32"/>
      <c r="D286" s="29"/>
      <c r="E286" s="29"/>
      <c r="F286" s="33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>
      <c r="A287" s="29"/>
      <c r="B287" s="29"/>
      <c r="C287" s="32"/>
      <c r="D287" s="29"/>
      <c r="E287" s="29"/>
      <c r="F287" s="33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>
      <c r="A288" s="29"/>
      <c r="B288" s="29"/>
      <c r="C288" s="32"/>
      <c r="D288" s="29"/>
      <c r="E288" s="29"/>
      <c r="F288" s="33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>
      <c r="A289" s="29"/>
      <c r="B289" s="29"/>
      <c r="C289" s="32"/>
      <c r="D289" s="29"/>
      <c r="E289" s="29"/>
      <c r="F289" s="33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>
      <c r="A290" s="29"/>
      <c r="B290" s="29"/>
      <c r="C290" s="32"/>
      <c r="D290" s="29"/>
      <c r="E290" s="29"/>
      <c r="F290" s="33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>
      <c r="A291" s="29"/>
      <c r="B291" s="29"/>
      <c r="C291" s="32"/>
      <c r="D291" s="29"/>
      <c r="E291" s="29"/>
      <c r="F291" s="33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>
      <c r="A292" s="29"/>
      <c r="B292" s="29"/>
      <c r="C292" s="32"/>
      <c r="D292" s="29"/>
      <c r="E292" s="29"/>
      <c r="F292" s="33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>
      <c r="A293" s="29"/>
      <c r="B293" s="29"/>
      <c r="C293" s="32"/>
      <c r="D293" s="29"/>
      <c r="E293" s="29"/>
      <c r="F293" s="33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>
      <c r="A294" s="29"/>
      <c r="B294" s="29"/>
      <c r="C294" s="32"/>
      <c r="D294" s="29"/>
      <c r="E294" s="29"/>
      <c r="F294" s="33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>
      <c r="A295" s="29"/>
      <c r="B295" s="29"/>
      <c r="C295" s="32"/>
      <c r="D295" s="29"/>
      <c r="E295" s="29"/>
      <c r="F295" s="33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>
      <c r="A296" s="29"/>
      <c r="B296" s="29"/>
      <c r="C296" s="32"/>
      <c r="D296" s="29"/>
      <c r="E296" s="29"/>
      <c r="F296" s="33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>
      <c r="A297" s="29"/>
      <c r="B297" s="29"/>
      <c r="C297" s="32"/>
      <c r="D297" s="29"/>
      <c r="E297" s="29"/>
      <c r="F297" s="33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>
      <c r="A298" s="29"/>
      <c r="B298" s="29"/>
      <c r="C298" s="32"/>
      <c r="D298" s="29"/>
      <c r="E298" s="29"/>
      <c r="F298" s="33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>
      <c r="A299" s="29"/>
      <c r="B299" s="29"/>
      <c r="C299" s="32"/>
      <c r="D299" s="29"/>
      <c r="E299" s="29"/>
      <c r="F299" s="33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>
      <c r="A300" s="29"/>
      <c r="B300" s="29"/>
      <c r="C300" s="32"/>
      <c r="D300" s="29"/>
      <c r="E300" s="29"/>
      <c r="F300" s="33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>
      <c r="A301" s="29"/>
      <c r="B301" s="29"/>
      <c r="C301" s="32"/>
      <c r="D301" s="29"/>
      <c r="E301" s="29"/>
      <c r="F301" s="33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>
      <c r="A302" s="29"/>
      <c r="B302" s="29"/>
      <c r="C302" s="32"/>
      <c r="D302" s="29"/>
      <c r="E302" s="29"/>
      <c r="F302" s="33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>
      <c r="A303" s="29"/>
      <c r="B303" s="29"/>
      <c r="C303" s="32"/>
      <c r="D303" s="29"/>
      <c r="E303" s="29"/>
      <c r="F303" s="33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>
      <c r="A304" s="29"/>
      <c r="B304" s="29"/>
      <c r="C304" s="32"/>
      <c r="D304" s="29"/>
      <c r="E304" s="29"/>
      <c r="F304" s="33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>
      <c r="A305" s="29"/>
      <c r="B305" s="29"/>
      <c r="C305" s="32"/>
      <c r="D305" s="29"/>
      <c r="E305" s="29"/>
      <c r="F305" s="33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>
      <c r="A306" s="29"/>
      <c r="B306" s="29"/>
      <c r="C306" s="32"/>
      <c r="D306" s="29"/>
      <c r="E306" s="29"/>
      <c r="F306" s="33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>
      <c r="A307" s="29"/>
      <c r="B307" s="29"/>
      <c r="C307" s="32"/>
      <c r="D307" s="29"/>
      <c r="E307" s="29"/>
      <c r="F307" s="33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>
      <c r="A308" s="29"/>
      <c r="B308" s="29"/>
      <c r="C308" s="32"/>
      <c r="D308" s="29"/>
      <c r="E308" s="29"/>
      <c r="F308" s="33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>
      <c r="A309" s="29"/>
      <c r="B309" s="29"/>
      <c r="C309" s="32"/>
      <c r="D309" s="29"/>
      <c r="E309" s="29"/>
      <c r="F309" s="33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>
      <c r="A310" s="29"/>
      <c r="B310" s="29"/>
      <c r="C310" s="32"/>
      <c r="D310" s="29"/>
      <c r="E310" s="29"/>
      <c r="F310" s="33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>
      <c r="A311" s="29"/>
      <c r="B311" s="29"/>
      <c r="C311" s="32"/>
      <c r="D311" s="29"/>
      <c r="E311" s="29"/>
      <c r="F311" s="33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>
      <c r="A312" s="29"/>
      <c r="B312" s="29"/>
      <c r="C312" s="32"/>
      <c r="D312" s="29"/>
      <c r="E312" s="29"/>
      <c r="F312" s="33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>
      <c r="A313" s="29"/>
      <c r="B313" s="29"/>
      <c r="C313" s="32"/>
      <c r="D313" s="29"/>
      <c r="E313" s="29"/>
      <c r="F313" s="33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>
      <c r="A314" s="29"/>
      <c r="B314" s="29"/>
      <c r="C314" s="32"/>
      <c r="D314" s="29"/>
      <c r="E314" s="29"/>
      <c r="F314" s="33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>
      <c r="A315" s="29"/>
      <c r="B315" s="29"/>
      <c r="C315" s="32"/>
      <c r="D315" s="29"/>
      <c r="E315" s="29"/>
      <c r="F315" s="33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>
      <c r="A316" s="29"/>
      <c r="B316" s="29"/>
      <c r="C316" s="32"/>
      <c r="D316" s="29"/>
      <c r="E316" s="29"/>
      <c r="F316" s="33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>
      <c r="A317" s="29"/>
      <c r="B317" s="29"/>
      <c r="C317" s="32"/>
      <c r="D317" s="29"/>
      <c r="E317" s="29"/>
      <c r="F317" s="33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>
      <c r="A318" s="29"/>
      <c r="B318" s="29"/>
      <c r="C318" s="32"/>
      <c r="D318" s="29"/>
      <c r="E318" s="29"/>
      <c r="F318" s="33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>
      <c r="A319" s="29"/>
      <c r="B319" s="29"/>
      <c r="C319" s="32"/>
      <c r="D319" s="29"/>
      <c r="E319" s="29"/>
      <c r="F319" s="33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>
      <c r="A320" s="29"/>
      <c r="B320" s="29"/>
      <c r="C320" s="32"/>
      <c r="D320" s="29"/>
      <c r="E320" s="29"/>
      <c r="F320" s="33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>
      <c r="A321" s="29"/>
      <c r="B321" s="29"/>
      <c r="C321" s="32"/>
      <c r="D321" s="29"/>
      <c r="E321" s="29"/>
      <c r="F321" s="33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>
      <c r="A322" s="29"/>
      <c r="B322" s="29"/>
      <c r="C322" s="32"/>
      <c r="D322" s="29"/>
      <c r="E322" s="29"/>
      <c r="F322" s="33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>
      <c r="A323" s="29"/>
      <c r="B323" s="29"/>
      <c r="C323" s="32"/>
      <c r="D323" s="29"/>
      <c r="E323" s="29"/>
      <c r="F323" s="33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>
      <c r="A324" s="29"/>
      <c r="B324" s="29"/>
      <c r="C324" s="32"/>
      <c r="D324" s="29"/>
      <c r="E324" s="29"/>
      <c r="F324" s="33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>
      <c r="A325" s="29"/>
      <c r="B325" s="29"/>
      <c r="C325" s="32"/>
      <c r="D325" s="29"/>
      <c r="E325" s="29"/>
      <c r="F325" s="33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>
      <c r="A326" s="29"/>
      <c r="B326" s="29"/>
      <c r="C326" s="32"/>
      <c r="D326" s="29"/>
      <c r="E326" s="29"/>
      <c r="F326" s="33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>
      <c r="A327" s="29"/>
      <c r="B327" s="29"/>
      <c r="C327" s="32"/>
      <c r="D327" s="29"/>
      <c r="E327" s="29"/>
      <c r="F327" s="33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>
      <c r="A328" s="29"/>
      <c r="B328" s="29"/>
      <c r="C328" s="32"/>
      <c r="D328" s="29"/>
      <c r="E328" s="29"/>
      <c r="F328" s="33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>
      <c r="A329" s="29"/>
      <c r="B329" s="29"/>
      <c r="C329" s="32"/>
      <c r="D329" s="29"/>
      <c r="E329" s="29"/>
      <c r="F329" s="33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>
      <c r="A330" s="29"/>
      <c r="B330" s="29"/>
      <c r="C330" s="32"/>
      <c r="D330" s="29"/>
      <c r="E330" s="29"/>
      <c r="F330" s="33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>
      <c r="A331" s="29"/>
      <c r="B331" s="29"/>
      <c r="C331" s="32"/>
      <c r="D331" s="29"/>
      <c r="E331" s="29"/>
      <c r="F331" s="33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>
      <c r="A332" s="29"/>
      <c r="B332" s="29"/>
      <c r="C332" s="32"/>
      <c r="D332" s="29"/>
      <c r="E332" s="29"/>
      <c r="F332" s="33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>
      <c r="A333" s="29"/>
      <c r="B333" s="29"/>
      <c r="C333" s="32"/>
      <c r="D333" s="29"/>
      <c r="E333" s="29"/>
      <c r="F333" s="33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>
      <c r="A334" s="29"/>
      <c r="B334" s="29"/>
      <c r="C334" s="32"/>
      <c r="D334" s="29"/>
      <c r="E334" s="29"/>
      <c r="F334" s="33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>
      <c r="A335" s="29"/>
      <c r="B335" s="29"/>
      <c r="C335" s="32"/>
      <c r="D335" s="29"/>
      <c r="E335" s="29"/>
      <c r="F335" s="33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>
      <c r="A336" s="29"/>
      <c r="B336" s="29"/>
      <c r="C336" s="32"/>
      <c r="D336" s="29"/>
      <c r="E336" s="29"/>
      <c r="F336" s="33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>
      <c r="A337" s="29"/>
      <c r="B337" s="29"/>
      <c r="C337" s="32"/>
      <c r="D337" s="29"/>
      <c r="E337" s="29"/>
      <c r="F337" s="33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>
      <c r="A338" s="29"/>
      <c r="B338" s="29"/>
      <c r="C338" s="32"/>
      <c r="D338" s="29"/>
      <c r="E338" s="29"/>
      <c r="F338" s="33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>
      <c r="A339" s="29"/>
      <c r="B339" s="29"/>
      <c r="C339" s="32"/>
      <c r="D339" s="29"/>
      <c r="E339" s="29"/>
      <c r="F339" s="33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>
      <c r="A340" s="29"/>
      <c r="B340" s="29"/>
      <c r="C340" s="32"/>
      <c r="D340" s="29"/>
      <c r="E340" s="29"/>
      <c r="F340" s="33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>
      <c r="A341" s="29"/>
      <c r="B341" s="29"/>
      <c r="C341" s="32"/>
      <c r="D341" s="29"/>
      <c r="E341" s="29"/>
      <c r="F341" s="33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>
      <c r="A342" s="29"/>
      <c r="B342" s="29"/>
      <c r="C342" s="32"/>
      <c r="D342" s="29"/>
      <c r="E342" s="29"/>
      <c r="F342" s="33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>
      <c r="A343" s="29"/>
      <c r="B343" s="29"/>
      <c r="C343" s="32"/>
      <c r="D343" s="29"/>
      <c r="E343" s="29"/>
      <c r="F343" s="33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>
      <c r="A344" s="29"/>
      <c r="B344" s="29"/>
      <c r="C344" s="32"/>
      <c r="D344" s="29"/>
      <c r="E344" s="29"/>
      <c r="F344" s="33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>
      <c r="A345" s="29"/>
      <c r="B345" s="29"/>
      <c r="C345" s="32"/>
      <c r="D345" s="29"/>
      <c r="E345" s="29"/>
      <c r="F345" s="33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>
      <c r="A346" s="29"/>
      <c r="B346" s="29"/>
      <c r="C346" s="32"/>
      <c r="D346" s="29"/>
      <c r="E346" s="29"/>
      <c r="F346" s="33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>
      <c r="A347" s="29"/>
      <c r="B347" s="29"/>
      <c r="C347" s="32"/>
      <c r="D347" s="29"/>
      <c r="E347" s="29"/>
      <c r="F347" s="33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>
      <c r="A348" s="29"/>
      <c r="B348" s="29"/>
      <c r="C348" s="32"/>
      <c r="D348" s="29"/>
      <c r="E348" s="29"/>
      <c r="F348" s="33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>
      <c r="A349" s="29"/>
      <c r="B349" s="29"/>
      <c r="C349" s="32"/>
      <c r="D349" s="29"/>
      <c r="E349" s="29"/>
      <c r="F349" s="33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>
      <c r="A350" s="29"/>
      <c r="B350" s="29"/>
      <c r="C350" s="32"/>
      <c r="D350" s="29"/>
      <c r="E350" s="29"/>
      <c r="F350" s="33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>
      <c r="A351" s="29"/>
      <c r="B351" s="29"/>
      <c r="C351" s="32"/>
      <c r="D351" s="29"/>
      <c r="E351" s="29"/>
      <c r="F351" s="33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>
      <c r="A352" s="29"/>
      <c r="B352" s="29"/>
      <c r="C352" s="32"/>
      <c r="D352" s="29"/>
      <c r="E352" s="29"/>
      <c r="F352" s="33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>
      <c r="A353" s="29"/>
      <c r="B353" s="29"/>
      <c r="C353" s="32"/>
      <c r="D353" s="29"/>
      <c r="E353" s="29"/>
      <c r="F353" s="33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>
      <c r="A354" s="29"/>
      <c r="B354" s="29"/>
      <c r="C354" s="32"/>
      <c r="D354" s="29"/>
      <c r="E354" s="29"/>
      <c r="F354" s="33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>
      <c r="A355" s="29"/>
      <c r="B355" s="29"/>
      <c r="C355" s="32"/>
      <c r="D355" s="29"/>
      <c r="E355" s="29"/>
      <c r="F355" s="33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>
      <c r="A356" s="29"/>
      <c r="B356" s="29"/>
      <c r="C356" s="32"/>
      <c r="D356" s="29"/>
      <c r="E356" s="29"/>
      <c r="F356" s="33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>
      <c r="A357" s="29"/>
      <c r="B357" s="29"/>
      <c r="C357" s="32"/>
      <c r="D357" s="29"/>
      <c r="E357" s="29"/>
      <c r="F357" s="33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>
      <c r="A358" s="29"/>
      <c r="B358" s="29"/>
      <c r="C358" s="32"/>
      <c r="D358" s="29"/>
      <c r="E358" s="29"/>
      <c r="F358" s="33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>
      <c r="A359" s="29"/>
      <c r="B359" s="29"/>
      <c r="C359" s="32"/>
      <c r="D359" s="29"/>
      <c r="E359" s="29"/>
      <c r="F359" s="33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>
      <c r="A360" s="29"/>
      <c r="B360" s="29"/>
      <c r="C360" s="32"/>
      <c r="D360" s="29"/>
      <c r="E360" s="29"/>
      <c r="F360" s="33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>
      <c r="A361" s="29"/>
      <c r="B361" s="29"/>
      <c r="C361" s="32"/>
      <c r="D361" s="29"/>
      <c r="E361" s="29"/>
      <c r="F361" s="33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>
      <c r="A362" s="29"/>
      <c r="B362" s="29"/>
      <c r="C362" s="32"/>
      <c r="D362" s="29"/>
      <c r="E362" s="29"/>
      <c r="F362" s="33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>
      <c r="A363" s="29"/>
      <c r="B363" s="29"/>
      <c r="C363" s="32"/>
      <c r="D363" s="29"/>
      <c r="E363" s="29"/>
      <c r="F363" s="33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>
      <c r="A364" s="29"/>
      <c r="B364" s="29"/>
      <c r="C364" s="32"/>
      <c r="D364" s="29"/>
      <c r="E364" s="29"/>
      <c r="F364" s="33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>
      <c r="A365" s="29"/>
      <c r="B365" s="29"/>
      <c r="C365" s="32"/>
      <c r="D365" s="29"/>
      <c r="E365" s="29"/>
      <c r="F365" s="33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>
      <c r="A366" s="29"/>
      <c r="B366" s="29"/>
      <c r="C366" s="32"/>
      <c r="D366" s="29"/>
      <c r="E366" s="29"/>
      <c r="F366" s="33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>
      <c r="A367" s="29"/>
      <c r="B367" s="29"/>
      <c r="C367" s="32"/>
      <c r="D367" s="29"/>
      <c r="E367" s="29"/>
      <c r="F367" s="33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>
      <c r="A368" s="29"/>
      <c r="B368" s="29"/>
      <c r="C368" s="32"/>
      <c r="D368" s="29"/>
      <c r="E368" s="29"/>
      <c r="F368" s="33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>
      <c r="A369" s="29"/>
      <c r="B369" s="29"/>
      <c r="C369" s="32"/>
      <c r="D369" s="29"/>
      <c r="E369" s="29"/>
      <c r="F369" s="33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>
      <c r="A370" s="29"/>
      <c r="B370" s="29"/>
      <c r="C370" s="32"/>
      <c r="D370" s="29"/>
      <c r="E370" s="29"/>
      <c r="F370" s="33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>
      <c r="A371" s="29"/>
      <c r="B371" s="29"/>
      <c r="C371" s="32"/>
      <c r="D371" s="29"/>
      <c r="E371" s="29"/>
      <c r="F371" s="33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>
      <c r="A372" s="29"/>
      <c r="B372" s="29"/>
      <c r="C372" s="32"/>
      <c r="D372" s="29"/>
      <c r="E372" s="29"/>
      <c r="F372" s="33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>
      <c r="A373" s="29"/>
      <c r="B373" s="29"/>
      <c r="C373" s="32"/>
      <c r="D373" s="29"/>
      <c r="E373" s="29"/>
      <c r="F373" s="33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>
      <c r="A374" s="29"/>
      <c r="B374" s="29"/>
      <c r="C374" s="32"/>
      <c r="D374" s="29"/>
      <c r="E374" s="29"/>
      <c r="F374" s="33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>
      <c r="A375" s="29"/>
      <c r="B375" s="29"/>
      <c r="C375" s="32"/>
      <c r="D375" s="29"/>
      <c r="E375" s="29"/>
      <c r="F375" s="33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>
      <c r="A376" s="29"/>
      <c r="B376" s="29"/>
      <c r="C376" s="32"/>
      <c r="D376" s="29"/>
      <c r="E376" s="29"/>
      <c r="F376" s="33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>
      <c r="A377" s="29"/>
      <c r="B377" s="29"/>
      <c r="C377" s="32"/>
      <c r="D377" s="29"/>
      <c r="E377" s="29"/>
      <c r="F377" s="33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>
      <c r="A378" s="29"/>
      <c r="B378" s="29"/>
      <c r="C378" s="32"/>
      <c r="D378" s="29"/>
      <c r="E378" s="29"/>
      <c r="F378" s="33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>
      <c r="A379" s="29"/>
      <c r="B379" s="29"/>
      <c r="C379" s="32"/>
      <c r="D379" s="29"/>
      <c r="E379" s="29"/>
      <c r="F379" s="33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>
      <c r="A380" s="29"/>
      <c r="B380" s="29"/>
      <c r="C380" s="32"/>
      <c r="D380" s="29"/>
      <c r="E380" s="29"/>
      <c r="F380" s="33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>
      <c r="A381" s="29"/>
      <c r="B381" s="29"/>
      <c r="C381" s="32"/>
      <c r="D381" s="29"/>
      <c r="E381" s="29"/>
      <c r="F381" s="33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>
      <c r="A382" s="29"/>
      <c r="B382" s="29"/>
      <c r="C382" s="32"/>
      <c r="D382" s="29"/>
      <c r="E382" s="29"/>
      <c r="F382" s="33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>
      <c r="A383" s="29"/>
      <c r="B383" s="29"/>
      <c r="C383" s="32"/>
      <c r="D383" s="29"/>
      <c r="E383" s="29"/>
      <c r="F383" s="33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>
      <c r="A384" s="29"/>
      <c r="B384" s="29"/>
      <c r="C384" s="32"/>
      <c r="D384" s="29"/>
      <c r="E384" s="29"/>
      <c r="F384" s="33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>
      <c r="A385" s="29"/>
      <c r="B385" s="29"/>
      <c r="C385" s="32"/>
      <c r="D385" s="29"/>
      <c r="E385" s="29"/>
      <c r="F385" s="33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>
      <c r="A386" s="29"/>
      <c r="B386" s="29"/>
      <c r="C386" s="32"/>
      <c r="D386" s="29"/>
      <c r="E386" s="29"/>
      <c r="F386" s="33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>
      <c r="A387" s="29"/>
      <c r="B387" s="29"/>
      <c r="C387" s="32"/>
      <c r="D387" s="29"/>
      <c r="E387" s="29"/>
      <c r="F387" s="33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>
      <c r="A388" s="29"/>
      <c r="B388" s="29"/>
      <c r="C388" s="32"/>
      <c r="D388" s="29"/>
      <c r="E388" s="29"/>
      <c r="F388" s="33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>
      <c r="A389" s="29"/>
      <c r="B389" s="29"/>
      <c r="C389" s="32"/>
      <c r="D389" s="29"/>
      <c r="E389" s="29"/>
      <c r="F389" s="33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>
      <c r="A390" s="29"/>
      <c r="B390" s="29"/>
      <c r="C390" s="32"/>
      <c r="D390" s="29"/>
      <c r="E390" s="29"/>
      <c r="F390" s="33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>
      <c r="A391" s="29"/>
      <c r="B391" s="29"/>
      <c r="C391" s="32"/>
      <c r="D391" s="29"/>
      <c r="E391" s="29"/>
      <c r="F391" s="33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>
      <c r="A392" s="29"/>
      <c r="B392" s="29"/>
      <c r="C392" s="32"/>
      <c r="D392" s="29"/>
      <c r="E392" s="29"/>
      <c r="F392" s="33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>
      <c r="A393" s="29"/>
      <c r="B393" s="29"/>
      <c r="C393" s="32"/>
      <c r="D393" s="29"/>
      <c r="E393" s="29"/>
      <c r="F393" s="33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>
      <c r="A394" s="29"/>
      <c r="B394" s="29"/>
      <c r="C394" s="32"/>
      <c r="D394" s="29"/>
      <c r="E394" s="29"/>
      <c r="F394" s="33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>
      <c r="A395" s="29"/>
      <c r="B395" s="29"/>
      <c r="C395" s="32"/>
      <c r="D395" s="29"/>
      <c r="E395" s="29"/>
      <c r="F395" s="33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>
      <c r="A396" s="29"/>
      <c r="B396" s="29"/>
      <c r="C396" s="32"/>
      <c r="D396" s="29"/>
      <c r="E396" s="29"/>
      <c r="F396" s="33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>
      <c r="A397" s="29"/>
      <c r="B397" s="29"/>
      <c r="C397" s="32"/>
      <c r="D397" s="29"/>
      <c r="E397" s="29"/>
      <c r="F397" s="33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>
      <c r="A398" s="29"/>
      <c r="B398" s="29"/>
      <c r="C398" s="32"/>
      <c r="D398" s="29"/>
      <c r="E398" s="29"/>
      <c r="F398" s="33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>
      <c r="A399" s="29"/>
      <c r="B399" s="29"/>
      <c r="C399" s="32"/>
      <c r="D399" s="29"/>
      <c r="E399" s="29"/>
      <c r="F399" s="33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>
      <c r="A400" s="29"/>
      <c r="B400" s="29"/>
      <c r="C400" s="32"/>
      <c r="D400" s="29"/>
      <c r="E400" s="29"/>
      <c r="F400" s="33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>
      <c r="A401" s="29"/>
      <c r="B401" s="29"/>
      <c r="C401" s="32"/>
      <c r="D401" s="29"/>
      <c r="E401" s="29"/>
      <c r="F401" s="33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>
      <c r="A402" s="29"/>
      <c r="B402" s="29"/>
      <c r="C402" s="32"/>
      <c r="D402" s="29"/>
      <c r="E402" s="29"/>
      <c r="F402" s="33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>
      <c r="A403" s="29"/>
      <c r="B403" s="29"/>
      <c r="C403" s="32"/>
      <c r="D403" s="29"/>
      <c r="E403" s="29"/>
      <c r="F403" s="33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>
      <c r="A404" s="29"/>
      <c r="B404" s="29"/>
      <c r="C404" s="32"/>
      <c r="D404" s="29"/>
      <c r="E404" s="29"/>
      <c r="F404" s="33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>
      <c r="A405" s="29"/>
      <c r="B405" s="29"/>
      <c r="C405" s="32"/>
      <c r="D405" s="29"/>
      <c r="E405" s="29"/>
      <c r="F405" s="33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>
      <c r="A406" s="29"/>
      <c r="B406" s="29"/>
      <c r="C406" s="32"/>
      <c r="D406" s="29"/>
      <c r="E406" s="29"/>
      <c r="F406" s="33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>
      <c r="A407" s="29"/>
      <c r="B407" s="29"/>
      <c r="C407" s="32"/>
      <c r="D407" s="29"/>
      <c r="E407" s="29"/>
      <c r="F407" s="33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>
      <c r="A408" s="29"/>
      <c r="B408" s="29"/>
      <c r="C408" s="32"/>
      <c r="D408" s="29"/>
      <c r="E408" s="29"/>
      <c r="F408" s="33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>
      <c r="A409" s="29"/>
      <c r="B409" s="29"/>
      <c r="C409" s="32"/>
      <c r="D409" s="29"/>
      <c r="E409" s="29"/>
      <c r="F409" s="33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>
      <c r="A410" s="29"/>
      <c r="B410" s="29"/>
      <c r="C410" s="32"/>
      <c r="D410" s="29"/>
      <c r="E410" s="29"/>
      <c r="F410" s="33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>
      <c r="A411" s="29"/>
      <c r="B411" s="29"/>
      <c r="C411" s="32"/>
      <c r="D411" s="29"/>
      <c r="E411" s="29"/>
      <c r="F411" s="33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>
      <c r="A412" s="29"/>
      <c r="B412" s="29"/>
      <c r="C412" s="32"/>
      <c r="D412" s="29"/>
      <c r="E412" s="29"/>
      <c r="F412" s="33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>
      <c r="A413" s="29"/>
      <c r="B413" s="29"/>
      <c r="C413" s="32"/>
      <c r="D413" s="29"/>
      <c r="E413" s="29"/>
      <c r="F413" s="33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>
      <c r="A414" s="29"/>
      <c r="B414" s="29"/>
      <c r="C414" s="32"/>
      <c r="D414" s="29"/>
      <c r="E414" s="29"/>
      <c r="F414" s="33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>
      <c r="A415" s="29"/>
      <c r="B415" s="29"/>
      <c r="C415" s="32"/>
      <c r="D415" s="29"/>
      <c r="E415" s="29"/>
      <c r="F415" s="33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>
      <c r="A416" s="29"/>
      <c r="B416" s="29"/>
      <c r="C416" s="32"/>
      <c r="D416" s="29"/>
      <c r="E416" s="29"/>
      <c r="F416" s="33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>
      <c r="A417" s="29"/>
      <c r="B417" s="29"/>
      <c r="C417" s="32"/>
      <c r="D417" s="29"/>
      <c r="E417" s="29"/>
      <c r="F417" s="33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>
      <c r="A418" s="29"/>
      <c r="B418" s="29"/>
      <c r="C418" s="32"/>
      <c r="D418" s="29"/>
      <c r="E418" s="29"/>
      <c r="F418" s="33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>
      <c r="A419" s="29"/>
      <c r="B419" s="29"/>
      <c r="C419" s="32"/>
      <c r="D419" s="29"/>
      <c r="E419" s="29"/>
      <c r="F419" s="33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>
      <c r="A420" s="29"/>
      <c r="B420" s="29"/>
      <c r="C420" s="32"/>
      <c r="D420" s="29"/>
      <c r="E420" s="29"/>
      <c r="F420" s="33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>
      <c r="A421" s="29"/>
      <c r="B421" s="29"/>
      <c r="C421" s="32"/>
      <c r="D421" s="29"/>
      <c r="E421" s="29"/>
      <c r="F421" s="33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>
      <c r="A422" s="29"/>
      <c r="B422" s="29"/>
      <c r="C422" s="32"/>
      <c r="D422" s="29"/>
      <c r="E422" s="29"/>
      <c r="F422" s="33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>
      <c r="A423" s="29"/>
      <c r="B423" s="29"/>
      <c r="C423" s="32"/>
      <c r="D423" s="29"/>
      <c r="E423" s="29"/>
      <c r="F423" s="33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>
      <c r="A424" s="29"/>
      <c r="B424" s="29"/>
      <c r="C424" s="32"/>
      <c r="D424" s="29"/>
      <c r="E424" s="29"/>
      <c r="F424" s="33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>
      <c r="A425" s="29"/>
      <c r="B425" s="29"/>
      <c r="C425" s="32"/>
      <c r="D425" s="29"/>
      <c r="E425" s="29"/>
      <c r="F425" s="33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>
      <c r="A426" s="29"/>
      <c r="B426" s="29"/>
      <c r="C426" s="32"/>
      <c r="D426" s="29"/>
      <c r="E426" s="29"/>
      <c r="F426" s="33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>
      <c r="A427" s="29"/>
      <c r="B427" s="29"/>
      <c r="C427" s="32"/>
      <c r="D427" s="29"/>
      <c r="E427" s="29"/>
      <c r="F427" s="33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>
      <c r="A428" s="29"/>
      <c r="B428" s="29"/>
      <c r="C428" s="32"/>
      <c r="D428" s="29"/>
      <c r="E428" s="29"/>
      <c r="F428" s="33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>
      <c r="A429" s="29"/>
      <c r="B429" s="29"/>
      <c r="C429" s="32"/>
      <c r="D429" s="29"/>
      <c r="E429" s="29"/>
      <c r="F429" s="33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>
      <c r="A430" s="29"/>
      <c r="B430" s="29"/>
      <c r="C430" s="32"/>
      <c r="D430" s="29"/>
      <c r="E430" s="29"/>
      <c r="F430" s="33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>
      <c r="A431" s="29"/>
      <c r="B431" s="29"/>
      <c r="C431" s="32"/>
      <c r="D431" s="29"/>
      <c r="E431" s="29"/>
      <c r="F431" s="33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>
      <c r="A432" s="29"/>
      <c r="B432" s="29"/>
      <c r="C432" s="32"/>
      <c r="D432" s="29"/>
      <c r="E432" s="29"/>
      <c r="F432" s="33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>
      <c r="A433" s="29"/>
      <c r="B433" s="29"/>
      <c r="C433" s="32"/>
      <c r="D433" s="29"/>
      <c r="E433" s="29"/>
      <c r="F433" s="33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>
      <c r="A434" s="29"/>
      <c r="B434" s="29"/>
      <c r="C434" s="32"/>
      <c r="D434" s="29"/>
      <c r="E434" s="29"/>
      <c r="F434" s="33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>
      <c r="A435" s="29"/>
      <c r="B435" s="29"/>
      <c r="C435" s="32"/>
      <c r="D435" s="29"/>
      <c r="E435" s="29"/>
      <c r="F435" s="33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>
      <c r="A436" s="29"/>
      <c r="B436" s="29"/>
      <c r="C436" s="32"/>
      <c r="D436" s="29"/>
      <c r="E436" s="29"/>
      <c r="F436" s="33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>
      <c r="A437" s="29"/>
      <c r="B437" s="29"/>
      <c r="C437" s="32"/>
      <c r="D437" s="29"/>
      <c r="E437" s="29"/>
      <c r="F437" s="33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>
      <c r="A438" s="29"/>
      <c r="B438" s="29"/>
      <c r="C438" s="32"/>
      <c r="D438" s="29"/>
      <c r="E438" s="29"/>
      <c r="F438" s="33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>
      <c r="A439" s="29"/>
      <c r="B439" s="29"/>
      <c r="C439" s="32"/>
      <c r="D439" s="29"/>
      <c r="E439" s="29"/>
      <c r="F439" s="33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>
      <c r="A440" s="29"/>
      <c r="B440" s="29"/>
      <c r="C440" s="32"/>
      <c r="D440" s="29"/>
      <c r="E440" s="29"/>
      <c r="F440" s="33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>
      <c r="A441" s="29"/>
      <c r="B441" s="29"/>
      <c r="C441" s="32"/>
      <c r="D441" s="29"/>
      <c r="E441" s="29"/>
      <c r="F441" s="33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>
      <c r="A442" s="29"/>
      <c r="B442" s="29"/>
      <c r="C442" s="32"/>
      <c r="D442" s="29"/>
      <c r="E442" s="29"/>
      <c r="F442" s="33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>
      <c r="A443" s="29"/>
      <c r="B443" s="29"/>
      <c r="C443" s="32"/>
      <c r="D443" s="29"/>
      <c r="E443" s="29"/>
      <c r="F443" s="33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>
      <c r="A444" s="29"/>
      <c r="B444" s="29"/>
      <c r="C444" s="32"/>
      <c r="D444" s="29"/>
      <c r="E444" s="29"/>
      <c r="F444" s="33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>
      <c r="A445" s="29"/>
      <c r="B445" s="29"/>
      <c r="C445" s="32"/>
      <c r="D445" s="29"/>
      <c r="E445" s="29"/>
      <c r="F445" s="33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>
      <c r="A446" s="29"/>
      <c r="B446" s="29"/>
      <c r="C446" s="32"/>
      <c r="D446" s="29"/>
      <c r="E446" s="29"/>
      <c r="F446" s="33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>
      <c r="A447" s="29"/>
      <c r="B447" s="29"/>
      <c r="C447" s="32"/>
      <c r="D447" s="29"/>
      <c r="E447" s="29"/>
      <c r="F447" s="33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>
      <c r="A448" s="29"/>
      <c r="B448" s="29"/>
      <c r="C448" s="32"/>
      <c r="D448" s="29"/>
      <c r="E448" s="29"/>
      <c r="F448" s="33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>
      <c r="A449" s="29"/>
      <c r="B449" s="29"/>
      <c r="C449" s="32"/>
      <c r="D449" s="29"/>
      <c r="E449" s="29"/>
      <c r="F449" s="33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>
      <c r="A450" s="29"/>
      <c r="B450" s="29"/>
      <c r="C450" s="32"/>
      <c r="D450" s="29"/>
      <c r="E450" s="29"/>
      <c r="F450" s="33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>
      <c r="A451" s="29"/>
      <c r="B451" s="29"/>
      <c r="C451" s="32"/>
      <c r="D451" s="29"/>
      <c r="E451" s="29"/>
      <c r="F451" s="33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>
      <c r="A452" s="29"/>
      <c r="B452" s="29"/>
      <c r="C452" s="32"/>
      <c r="D452" s="29"/>
      <c r="E452" s="29"/>
      <c r="F452" s="33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>
      <c r="A453" s="29"/>
      <c r="B453" s="29"/>
      <c r="C453" s="32"/>
      <c r="D453" s="29"/>
      <c r="E453" s="29"/>
      <c r="F453" s="33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>
      <c r="A454" s="29"/>
      <c r="B454" s="29"/>
      <c r="C454" s="32"/>
      <c r="D454" s="29"/>
      <c r="E454" s="29"/>
      <c r="F454" s="33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>
      <c r="A455" s="29"/>
      <c r="B455" s="29"/>
      <c r="C455" s="32"/>
      <c r="D455" s="29"/>
      <c r="E455" s="29"/>
      <c r="F455" s="33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>
      <c r="A456" s="29"/>
      <c r="B456" s="29"/>
      <c r="C456" s="32"/>
      <c r="D456" s="29"/>
      <c r="E456" s="29"/>
      <c r="F456" s="33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>
      <c r="A457" s="29"/>
      <c r="B457" s="29"/>
      <c r="C457" s="32"/>
      <c r="D457" s="29"/>
      <c r="E457" s="29"/>
      <c r="F457" s="33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>
      <c r="A458" s="29"/>
      <c r="B458" s="29"/>
      <c r="C458" s="32"/>
      <c r="D458" s="29"/>
      <c r="E458" s="29"/>
      <c r="F458" s="33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>
      <c r="A459" s="29"/>
      <c r="B459" s="29"/>
      <c r="C459" s="32"/>
      <c r="D459" s="29"/>
      <c r="E459" s="29"/>
      <c r="F459" s="33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>
      <c r="A460" s="29"/>
      <c r="B460" s="29"/>
      <c r="C460" s="32"/>
      <c r="D460" s="29"/>
      <c r="E460" s="29"/>
      <c r="F460" s="33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>
      <c r="A461" s="29"/>
      <c r="B461" s="29"/>
      <c r="C461" s="32"/>
      <c r="D461" s="29"/>
      <c r="E461" s="29"/>
      <c r="F461" s="33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>
      <c r="A462" s="29"/>
      <c r="B462" s="29"/>
      <c r="C462" s="32"/>
      <c r="D462" s="29"/>
      <c r="E462" s="29"/>
      <c r="F462" s="33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>
      <c r="A463" s="29"/>
      <c r="B463" s="29"/>
      <c r="C463" s="32"/>
      <c r="D463" s="29"/>
      <c r="E463" s="29"/>
      <c r="F463" s="33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>
      <c r="A464" s="29"/>
      <c r="B464" s="29"/>
      <c r="C464" s="32"/>
      <c r="D464" s="29"/>
      <c r="E464" s="29"/>
      <c r="F464" s="33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>
      <c r="A465" s="29"/>
      <c r="B465" s="29"/>
      <c r="C465" s="32"/>
      <c r="D465" s="29"/>
      <c r="E465" s="29"/>
      <c r="F465" s="33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>
      <c r="A466" s="29"/>
      <c r="B466" s="29"/>
      <c r="C466" s="32"/>
      <c r="D466" s="29"/>
      <c r="E466" s="29"/>
      <c r="F466" s="33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>
      <c r="A467" s="29"/>
      <c r="B467" s="29"/>
      <c r="C467" s="32"/>
      <c r="D467" s="29"/>
      <c r="E467" s="29"/>
      <c r="F467" s="33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>
      <c r="A468" s="29"/>
      <c r="B468" s="29"/>
      <c r="C468" s="32"/>
      <c r="D468" s="29"/>
      <c r="E468" s="29"/>
      <c r="F468" s="33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>
      <c r="A469" s="29"/>
      <c r="B469" s="29"/>
      <c r="C469" s="32"/>
      <c r="D469" s="29"/>
      <c r="E469" s="29"/>
      <c r="F469" s="33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>
      <c r="A470" s="29"/>
      <c r="B470" s="29"/>
      <c r="C470" s="32"/>
      <c r="D470" s="29"/>
      <c r="E470" s="29"/>
      <c r="F470" s="33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>
      <c r="A471" s="29"/>
      <c r="B471" s="29"/>
      <c r="C471" s="32"/>
      <c r="D471" s="29"/>
      <c r="E471" s="29"/>
      <c r="F471" s="33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>
      <c r="A472" s="29"/>
      <c r="B472" s="29"/>
      <c r="C472" s="32"/>
      <c r="D472" s="29"/>
      <c r="E472" s="29"/>
      <c r="F472" s="33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>
      <c r="A473" s="29"/>
      <c r="B473" s="29"/>
      <c r="C473" s="32"/>
      <c r="D473" s="29"/>
      <c r="E473" s="29"/>
      <c r="F473" s="33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>
      <c r="A474" s="29"/>
      <c r="B474" s="29"/>
      <c r="C474" s="32"/>
      <c r="D474" s="29"/>
      <c r="E474" s="29"/>
      <c r="F474" s="33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>
      <c r="A475" s="29"/>
      <c r="B475" s="29"/>
      <c r="C475" s="32"/>
      <c r="D475" s="29"/>
      <c r="E475" s="29"/>
      <c r="F475" s="33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>
      <c r="A476" s="29"/>
      <c r="B476" s="29"/>
      <c r="C476" s="32"/>
      <c r="D476" s="29"/>
      <c r="E476" s="29"/>
      <c r="F476" s="33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>
      <c r="A477" s="29"/>
      <c r="B477" s="29"/>
      <c r="C477" s="32"/>
      <c r="D477" s="29"/>
      <c r="E477" s="29"/>
      <c r="F477" s="33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>
      <c r="A478" s="29"/>
      <c r="B478" s="29"/>
      <c r="C478" s="32"/>
      <c r="D478" s="29"/>
      <c r="E478" s="29"/>
      <c r="F478" s="33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>
      <c r="A479" s="29"/>
      <c r="B479" s="29"/>
      <c r="C479" s="32"/>
      <c r="D479" s="29"/>
      <c r="E479" s="29"/>
      <c r="F479" s="33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>
      <c r="A480" s="29"/>
      <c r="B480" s="29"/>
      <c r="C480" s="32"/>
      <c r="D480" s="29"/>
      <c r="E480" s="29"/>
      <c r="F480" s="33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>
      <c r="A481" s="29"/>
      <c r="B481" s="29"/>
      <c r="C481" s="32"/>
      <c r="D481" s="29"/>
      <c r="E481" s="29"/>
      <c r="F481" s="33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>
      <c r="A482" s="29"/>
      <c r="B482" s="29"/>
      <c r="C482" s="32"/>
      <c r="D482" s="29"/>
      <c r="E482" s="29"/>
      <c r="F482" s="33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>
      <c r="A483" s="29"/>
      <c r="B483" s="29"/>
      <c r="C483" s="32"/>
      <c r="D483" s="29"/>
      <c r="E483" s="29"/>
      <c r="F483" s="33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>
      <c r="A484" s="29"/>
      <c r="B484" s="29"/>
      <c r="C484" s="32"/>
      <c r="D484" s="29"/>
      <c r="E484" s="29"/>
      <c r="F484" s="33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>
      <c r="A485" s="29"/>
      <c r="B485" s="29"/>
      <c r="C485" s="32"/>
      <c r="D485" s="29"/>
      <c r="E485" s="29"/>
      <c r="F485" s="33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>
      <c r="A486" s="29"/>
      <c r="B486" s="29"/>
      <c r="C486" s="32"/>
      <c r="D486" s="29"/>
      <c r="E486" s="29"/>
      <c r="F486" s="33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>
      <c r="A487" s="29"/>
      <c r="B487" s="29"/>
      <c r="C487" s="32"/>
      <c r="D487" s="29"/>
      <c r="E487" s="29"/>
      <c r="F487" s="33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>
      <c r="A488" s="29"/>
      <c r="B488" s="29"/>
      <c r="C488" s="32"/>
      <c r="D488" s="29"/>
      <c r="E488" s="29"/>
      <c r="F488" s="33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>
      <c r="A489" s="29"/>
      <c r="B489" s="29"/>
      <c r="C489" s="32"/>
      <c r="D489" s="29"/>
      <c r="E489" s="29"/>
      <c r="F489" s="33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>
      <c r="A490" s="29"/>
      <c r="B490" s="29"/>
      <c r="C490" s="32"/>
      <c r="D490" s="29"/>
      <c r="E490" s="29"/>
      <c r="F490" s="33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>
      <c r="A491" s="29"/>
      <c r="B491" s="29"/>
      <c r="C491" s="32"/>
      <c r="D491" s="29"/>
      <c r="E491" s="29"/>
      <c r="F491" s="33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>
      <c r="A492" s="29"/>
      <c r="B492" s="29"/>
      <c r="C492" s="32"/>
      <c r="D492" s="29"/>
      <c r="E492" s="29"/>
      <c r="F492" s="33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>
      <c r="A493" s="29"/>
      <c r="B493" s="29"/>
      <c r="C493" s="32"/>
      <c r="D493" s="29"/>
      <c r="E493" s="29"/>
      <c r="F493" s="33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>
      <c r="A494" s="29"/>
      <c r="B494" s="29"/>
      <c r="C494" s="32"/>
      <c r="D494" s="29"/>
      <c r="E494" s="29"/>
      <c r="F494" s="33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>
      <c r="A495" s="29"/>
      <c r="B495" s="29"/>
      <c r="C495" s="32"/>
      <c r="D495" s="29"/>
      <c r="E495" s="29"/>
      <c r="F495" s="33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>
      <c r="A496" s="29"/>
      <c r="B496" s="29"/>
      <c r="C496" s="32"/>
      <c r="D496" s="29"/>
      <c r="E496" s="29"/>
      <c r="F496" s="33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>
      <c r="A497" s="29"/>
      <c r="B497" s="29"/>
      <c r="C497" s="32"/>
      <c r="D497" s="29"/>
      <c r="E497" s="29"/>
      <c r="F497" s="33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>
      <c r="A498" s="29"/>
      <c r="B498" s="29"/>
      <c r="C498" s="32"/>
      <c r="D498" s="29"/>
      <c r="E498" s="29"/>
      <c r="F498" s="33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>
      <c r="A499" s="29"/>
      <c r="B499" s="29"/>
      <c r="C499" s="32"/>
      <c r="D499" s="29"/>
      <c r="E499" s="29"/>
      <c r="F499" s="33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>
      <c r="A500" s="29"/>
      <c r="B500" s="29"/>
      <c r="C500" s="32"/>
      <c r="D500" s="29"/>
      <c r="E500" s="29"/>
      <c r="F500" s="33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>
      <c r="A501" s="29"/>
      <c r="B501" s="29"/>
      <c r="C501" s="32"/>
      <c r="D501" s="29"/>
      <c r="E501" s="29"/>
      <c r="F501" s="33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>
      <c r="A502" s="29"/>
      <c r="B502" s="29"/>
      <c r="C502" s="32"/>
      <c r="D502" s="29"/>
      <c r="E502" s="29"/>
      <c r="F502" s="33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>
      <c r="A503" s="29"/>
      <c r="B503" s="29"/>
      <c r="C503" s="32"/>
      <c r="D503" s="29"/>
      <c r="E503" s="29"/>
      <c r="F503" s="33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>
      <c r="A504" s="29"/>
      <c r="B504" s="29"/>
      <c r="C504" s="32"/>
      <c r="D504" s="29"/>
      <c r="E504" s="29"/>
      <c r="F504" s="33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>
      <c r="A505" s="29"/>
      <c r="B505" s="29"/>
      <c r="C505" s="32"/>
      <c r="D505" s="29"/>
      <c r="E505" s="29"/>
      <c r="F505" s="33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>
      <c r="A506" s="29"/>
      <c r="B506" s="29"/>
      <c r="C506" s="32"/>
      <c r="D506" s="29"/>
      <c r="E506" s="29"/>
      <c r="F506" s="33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>
      <c r="A507" s="29"/>
      <c r="B507" s="29"/>
      <c r="C507" s="32"/>
      <c r="D507" s="29"/>
      <c r="E507" s="29"/>
      <c r="F507" s="33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>
      <c r="A508" s="29"/>
      <c r="B508" s="29"/>
      <c r="C508" s="32"/>
      <c r="D508" s="29"/>
      <c r="E508" s="29"/>
      <c r="F508" s="33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>
      <c r="A509" s="29"/>
      <c r="B509" s="29"/>
      <c r="C509" s="32"/>
      <c r="D509" s="29"/>
      <c r="E509" s="29"/>
      <c r="F509" s="33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>
      <c r="A510" s="29"/>
      <c r="B510" s="29"/>
      <c r="C510" s="32"/>
      <c r="D510" s="29"/>
      <c r="E510" s="29"/>
      <c r="F510" s="33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>
      <c r="A511" s="29"/>
      <c r="B511" s="29"/>
      <c r="C511" s="32"/>
      <c r="D511" s="29"/>
      <c r="E511" s="29"/>
      <c r="F511" s="33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>
      <c r="A512" s="29"/>
      <c r="B512" s="29"/>
      <c r="C512" s="32"/>
      <c r="D512" s="29"/>
      <c r="E512" s="29"/>
      <c r="F512" s="33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>
      <c r="A513" s="29"/>
      <c r="B513" s="29"/>
      <c r="C513" s="32"/>
      <c r="D513" s="29"/>
      <c r="E513" s="29"/>
      <c r="F513" s="33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>
      <c r="A514" s="29"/>
      <c r="B514" s="29"/>
      <c r="C514" s="32"/>
      <c r="D514" s="29"/>
      <c r="E514" s="29"/>
      <c r="F514" s="33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>
      <c r="A515" s="29"/>
      <c r="B515" s="29"/>
      <c r="C515" s="32"/>
      <c r="D515" s="29"/>
      <c r="E515" s="29"/>
      <c r="F515" s="33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>
      <c r="A516" s="29"/>
      <c r="B516" s="29"/>
      <c r="C516" s="32"/>
      <c r="D516" s="29"/>
      <c r="E516" s="29"/>
      <c r="F516" s="33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>
      <c r="A517" s="29"/>
      <c r="B517" s="29"/>
      <c r="C517" s="32"/>
      <c r="D517" s="29"/>
      <c r="E517" s="29"/>
      <c r="F517" s="33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>
      <c r="A518" s="29"/>
      <c r="B518" s="29"/>
      <c r="C518" s="32"/>
      <c r="D518" s="29"/>
      <c r="E518" s="29"/>
      <c r="F518" s="33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>
      <c r="A519" s="29"/>
      <c r="B519" s="29"/>
      <c r="C519" s="32"/>
      <c r="D519" s="29"/>
      <c r="E519" s="29"/>
      <c r="F519" s="33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>
      <c r="A520" s="29"/>
      <c r="B520" s="29"/>
      <c r="C520" s="32"/>
      <c r="D520" s="29"/>
      <c r="E520" s="29"/>
      <c r="F520" s="33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>
      <c r="A521" s="29"/>
      <c r="B521" s="29"/>
      <c r="C521" s="32"/>
      <c r="D521" s="29"/>
      <c r="E521" s="29"/>
      <c r="F521" s="33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>
      <c r="A522" s="29"/>
      <c r="B522" s="29"/>
      <c r="C522" s="32"/>
      <c r="D522" s="29"/>
      <c r="E522" s="29"/>
      <c r="F522" s="33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>
      <c r="A523" s="29"/>
      <c r="B523" s="29"/>
      <c r="C523" s="32"/>
      <c r="D523" s="29"/>
      <c r="E523" s="29"/>
      <c r="F523" s="33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>
      <c r="A524" s="29"/>
      <c r="B524" s="29"/>
      <c r="C524" s="32"/>
      <c r="D524" s="29"/>
      <c r="E524" s="29"/>
      <c r="F524" s="33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>
      <c r="A525" s="29"/>
      <c r="B525" s="29"/>
      <c r="C525" s="32"/>
      <c r="D525" s="29"/>
      <c r="E525" s="29"/>
      <c r="F525" s="33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>
      <c r="A526" s="29"/>
      <c r="B526" s="29"/>
      <c r="C526" s="32"/>
      <c r="D526" s="29"/>
      <c r="E526" s="29"/>
      <c r="F526" s="33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>
      <c r="A527" s="29"/>
      <c r="B527" s="29"/>
      <c r="C527" s="32"/>
      <c r="D527" s="29"/>
      <c r="E527" s="29"/>
      <c r="F527" s="33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>
      <c r="A528" s="29"/>
      <c r="B528" s="29"/>
      <c r="C528" s="32"/>
      <c r="D528" s="29"/>
      <c r="E528" s="29"/>
      <c r="F528" s="33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>
      <c r="A529" s="29"/>
      <c r="B529" s="29"/>
      <c r="C529" s="32"/>
      <c r="D529" s="29"/>
      <c r="E529" s="29"/>
      <c r="F529" s="33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>
      <c r="A530" s="29"/>
      <c r="B530" s="29"/>
      <c r="C530" s="32"/>
      <c r="D530" s="29"/>
      <c r="E530" s="29"/>
      <c r="F530" s="33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>
      <c r="A531" s="29"/>
      <c r="B531" s="29"/>
      <c r="C531" s="32"/>
      <c r="D531" s="29"/>
      <c r="E531" s="29"/>
      <c r="F531" s="33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>
      <c r="A532" s="29"/>
      <c r="B532" s="29"/>
      <c r="C532" s="32"/>
      <c r="D532" s="29"/>
      <c r="E532" s="29"/>
      <c r="F532" s="33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>
      <c r="A533" s="29"/>
      <c r="B533" s="29"/>
      <c r="C533" s="32"/>
      <c r="D533" s="29"/>
      <c r="E533" s="29"/>
      <c r="F533" s="33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>
      <c r="A534" s="29"/>
      <c r="B534" s="29"/>
      <c r="C534" s="32"/>
      <c r="D534" s="29"/>
      <c r="E534" s="29"/>
      <c r="F534" s="33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>
      <c r="A535" s="29"/>
      <c r="B535" s="29"/>
      <c r="C535" s="32"/>
      <c r="D535" s="29"/>
      <c r="E535" s="29"/>
      <c r="F535" s="33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>
      <c r="A536" s="29"/>
      <c r="B536" s="29"/>
      <c r="C536" s="32"/>
      <c r="D536" s="29"/>
      <c r="E536" s="29"/>
      <c r="F536" s="33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>
      <c r="A537" s="29"/>
      <c r="B537" s="29"/>
      <c r="C537" s="32"/>
      <c r="D537" s="29"/>
      <c r="E537" s="29"/>
      <c r="F537" s="33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>
      <c r="A538" s="29"/>
      <c r="B538" s="29"/>
      <c r="C538" s="32"/>
      <c r="D538" s="29"/>
      <c r="E538" s="29"/>
      <c r="F538" s="33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>
      <c r="A539" s="29"/>
      <c r="B539" s="29"/>
      <c r="C539" s="32"/>
      <c r="D539" s="29"/>
      <c r="E539" s="29"/>
      <c r="F539" s="33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>
      <c r="A540" s="29"/>
      <c r="B540" s="29"/>
      <c r="C540" s="32"/>
      <c r="D540" s="29"/>
      <c r="E540" s="29"/>
      <c r="F540" s="33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>
      <c r="A541" s="29"/>
      <c r="B541" s="29"/>
      <c r="C541" s="32"/>
      <c r="D541" s="29"/>
      <c r="E541" s="29"/>
      <c r="F541" s="33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>
      <c r="A542" s="29"/>
      <c r="B542" s="29"/>
      <c r="C542" s="32"/>
      <c r="D542" s="29"/>
      <c r="E542" s="29"/>
      <c r="F542" s="33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>
      <c r="A543" s="29"/>
      <c r="B543" s="29"/>
      <c r="C543" s="32"/>
      <c r="D543" s="29"/>
      <c r="E543" s="29"/>
      <c r="F543" s="33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>
      <c r="A544" s="29"/>
      <c r="B544" s="29"/>
      <c r="C544" s="32"/>
      <c r="D544" s="29"/>
      <c r="E544" s="29"/>
      <c r="F544" s="33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>
      <c r="A545" s="29"/>
      <c r="B545" s="29"/>
      <c r="C545" s="32"/>
      <c r="D545" s="29"/>
      <c r="E545" s="29"/>
      <c r="F545" s="33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>
      <c r="A546" s="29"/>
      <c r="B546" s="29"/>
      <c r="C546" s="32"/>
      <c r="D546" s="29"/>
      <c r="E546" s="29"/>
      <c r="F546" s="33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>
      <c r="A547" s="29"/>
      <c r="B547" s="29"/>
      <c r="C547" s="32"/>
      <c r="D547" s="29"/>
      <c r="E547" s="29"/>
      <c r="F547" s="33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>
      <c r="A548" s="29"/>
      <c r="B548" s="29"/>
      <c r="C548" s="32"/>
      <c r="D548" s="29"/>
      <c r="E548" s="29"/>
      <c r="F548" s="33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>
      <c r="A549" s="29"/>
      <c r="B549" s="29"/>
      <c r="C549" s="32"/>
      <c r="D549" s="29"/>
      <c r="E549" s="29"/>
      <c r="F549" s="33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>
      <c r="A550" s="29"/>
      <c r="B550" s="29"/>
      <c r="C550" s="32"/>
      <c r="D550" s="29"/>
      <c r="E550" s="29"/>
      <c r="F550" s="33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>
      <c r="A551" s="29"/>
      <c r="B551" s="29"/>
      <c r="C551" s="32"/>
      <c r="D551" s="29"/>
      <c r="E551" s="29"/>
      <c r="F551" s="33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>
      <c r="A552" s="29"/>
      <c r="B552" s="29"/>
      <c r="C552" s="32"/>
      <c r="D552" s="29"/>
      <c r="E552" s="29"/>
      <c r="F552" s="33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>
      <c r="A553" s="29"/>
      <c r="B553" s="29"/>
      <c r="C553" s="32"/>
      <c r="D553" s="29"/>
      <c r="E553" s="29"/>
      <c r="F553" s="33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>
      <c r="A554" s="29"/>
      <c r="B554" s="29"/>
      <c r="C554" s="32"/>
      <c r="D554" s="29"/>
      <c r="E554" s="29"/>
      <c r="F554" s="33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>
      <c r="A555" s="29"/>
      <c r="B555" s="29"/>
      <c r="C555" s="32"/>
      <c r="D555" s="29"/>
      <c r="E555" s="29"/>
      <c r="F555" s="33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>
      <c r="A556" s="29"/>
      <c r="B556" s="29"/>
      <c r="C556" s="32"/>
      <c r="D556" s="29"/>
      <c r="E556" s="29"/>
      <c r="F556" s="33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>
      <c r="A557" s="29"/>
      <c r="B557" s="29"/>
      <c r="C557" s="32"/>
      <c r="D557" s="29"/>
      <c r="E557" s="29"/>
      <c r="F557" s="33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>
      <c r="A558" s="29"/>
      <c r="B558" s="29"/>
      <c r="C558" s="32"/>
      <c r="D558" s="29"/>
      <c r="E558" s="29"/>
      <c r="F558" s="33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>
      <c r="A559" s="29"/>
      <c r="B559" s="29"/>
      <c r="C559" s="32"/>
      <c r="D559" s="29"/>
      <c r="E559" s="29"/>
      <c r="F559" s="33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>
      <c r="A560" s="29"/>
      <c r="B560" s="29"/>
      <c r="C560" s="32"/>
      <c r="D560" s="29"/>
      <c r="E560" s="29"/>
      <c r="F560" s="33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>
      <c r="A561" s="29"/>
      <c r="B561" s="29"/>
      <c r="C561" s="32"/>
      <c r="D561" s="29"/>
      <c r="E561" s="29"/>
      <c r="F561" s="33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>
      <c r="A562" s="29"/>
      <c r="B562" s="29"/>
      <c r="C562" s="32"/>
      <c r="D562" s="29"/>
      <c r="E562" s="29"/>
      <c r="F562" s="33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>
      <c r="A563" s="29"/>
      <c r="B563" s="29"/>
      <c r="C563" s="32"/>
      <c r="D563" s="29"/>
      <c r="E563" s="29"/>
      <c r="F563" s="33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>
      <c r="A564" s="29"/>
      <c r="B564" s="29"/>
      <c r="C564" s="32"/>
      <c r="D564" s="29"/>
      <c r="E564" s="29"/>
      <c r="F564" s="33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>
      <c r="A565" s="29"/>
      <c r="B565" s="29"/>
      <c r="C565" s="32"/>
      <c r="D565" s="29"/>
      <c r="E565" s="29"/>
      <c r="F565" s="33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>
      <c r="A566" s="29"/>
      <c r="B566" s="29"/>
      <c r="C566" s="32"/>
      <c r="D566" s="29"/>
      <c r="E566" s="29"/>
      <c r="F566" s="33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>
      <c r="A567" s="29"/>
      <c r="B567" s="29"/>
      <c r="C567" s="32"/>
      <c r="D567" s="29"/>
      <c r="E567" s="29"/>
      <c r="F567" s="33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>
      <c r="A568" s="29"/>
      <c r="B568" s="29"/>
      <c r="C568" s="32"/>
      <c r="D568" s="29"/>
      <c r="E568" s="29"/>
      <c r="F568" s="33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>
      <c r="A569" s="29"/>
      <c r="B569" s="29"/>
      <c r="C569" s="32"/>
      <c r="D569" s="29"/>
      <c r="E569" s="29"/>
      <c r="F569" s="33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>
      <c r="A570" s="29"/>
      <c r="B570" s="29"/>
      <c r="C570" s="32"/>
      <c r="D570" s="29"/>
      <c r="E570" s="29"/>
      <c r="F570" s="33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>
      <c r="A571" s="29"/>
      <c r="B571" s="29"/>
      <c r="C571" s="32"/>
      <c r="D571" s="29"/>
      <c r="E571" s="29"/>
      <c r="F571" s="33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>
      <c r="A572" s="29"/>
      <c r="B572" s="29"/>
      <c r="C572" s="32"/>
      <c r="D572" s="29"/>
      <c r="E572" s="29"/>
      <c r="F572" s="33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>
      <c r="A573" s="29"/>
      <c r="B573" s="29"/>
      <c r="C573" s="32"/>
      <c r="D573" s="29"/>
      <c r="E573" s="29"/>
      <c r="F573" s="33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>
      <c r="A574" s="29"/>
      <c r="B574" s="29"/>
      <c r="C574" s="32"/>
      <c r="D574" s="29"/>
      <c r="E574" s="29"/>
      <c r="F574" s="33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>
      <c r="A575" s="29"/>
      <c r="B575" s="29"/>
      <c r="C575" s="32"/>
      <c r="D575" s="29"/>
      <c r="E575" s="29"/>
      <c r="F575" s="33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>
      <c r="A576" s="29"/>
      <c r="B576" s="29"/>
      <c r="C576" s="32"/>
      <c r="D576" s="29"/>
      <c r="E576" s="29"/>
      <c r="F576" s="33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>
      <c r="A577" s="29"/>
      <c r="B577" s="29"/>
      <c r="C577" s="32"/>
      <c r="D577" s="29"/>
      <c r="E577" s="29"/>
      <c r="F577" s="33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>
      <c r="A578" s="29"/>
      <c r="B578" s="29"/>
      <c r="C578" s="32"/>
      <c r="D578" s="29"/>
      <c r="E578" s="29"/>
      <c r="F578" s="33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>
      <c r="A579" s="29"/>
      <c r="B579" s="29"/>
      <c r="C579" s="32"/>
      <c r="D579" s="29"/>
      <c r="E579" s="29"/>
      <c r="F579" s="33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>
      <c r="A580" s="29"/>
      <c r="B580" s="29"/>
      <c r="C580" s="32"/>
      <c r="D580" s="29"/>
      <c r="E580" s="29"/>
      <c r="F580" s="33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>
      <c r="A581" s="29"/>
      <c r="B581" s="29"/>
      <c r="C581" s="32"/>
      <c r="D581" s="29"/>
      <c r="E581" s="29"/>
      <c r="F581" s="33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>
      <c r="A582" s="29"/>
      <c r="B582" s="29"/>
      <c r="C582" s="32"/>
      <c r="D582" s="29"/>
      <c r="E582" s="29"/>
      <c r="F582" s="33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>
      <c r="A583" s="29"/>
      <c r="B583" s="29"/>
      <c r="C583" s="32"/>
      <c r="D583" s="29"/>
      <c r="E583" s="29"/>
      <c r="F583" s="33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>
      <c r="A584" s="29"/>
      <c r="B584" s="29"/>
      <c r="C584" s="32"/>
      <c r="D584" s="29"/>
      <c r="E584" s="29"/>
      <c r="F584" s="33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>
      <c r="A585" s="29"/>
      <c r="B585" s="29"/>
      <c r="C585" s="32"/>
      <c r="D585" s="29"/>
      <c r="E585" s="29"/>
      <c r="F585" s="33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>
      <c r="A586" s="29"/>
      <c r="B586" s="29"/>
      <c r="C586" s="32"/>
      <c r="D586" s="29"/>
      <c r="E586" s="29"/>
      <c r="F586" s="33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>
      <c r="A587" s="29"/>
      <c r="B587" s="29"/>
      <c r="C587" s="32"/>
      <c r="D587" s="29"/>
      <c r="E587" s="29"/>
      <c r="F587" s="33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>
      <c r="A588" s="29"/>
      <c r="B588" s="29"/>
      <c r="C588" s="32"/>
      <c r="D588" s="29"/>
      <c r="E588" s="29"/>
      <c r="F588" s="33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>
      <c r="A589" s="29"/>
      <c r="B589" s="29"/>
      <c r="C589" s="32"/>
      <c r="D589" s="29"/>
      <c r="E589" s="29"/>
      <c r="F589" s="33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>
      <c r="A590" s="29"/>
      <c r="B590" s="29"/>
      <c r="C590" s="32"/>
      <c r="D590" s="29"/>
      <c r="E590" s="29"/>
      <c r="F590" s="33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>
      <c r="A591" s="29"/>
      <c r="B591" s="29"/>
      <c r="C591" s="32"/>
      <c r="D591" s="29"/>
      <c r="E591" s="29"/>
      <c r="F591" s="33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>
      <c r="A592" s="29"/>
      <c r="B592" s="29"/>
      <c r="C592" s="32"/>
      <c r="D592" s="29"/>
      <c r="E592" s="29"/>
      <c r="F592" s="33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>
      <c r="A593" s="29"/>
      <c r="B593" s="29"/>
      <c r="C593" s="32"/>
      <c r="D593" s="29"/>
      <c r="E593" s="29"/>
      <c r="F593" s="33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>
      <c r="A594" s="29"/>
      <c r="B594" s="29"/>
      <c r="C594" s="32"/>
      <c r="D594" s="29"/>
      <c r="E594" s="29"/>
      <c r="F594" s="33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>
      <c r="A595" s="29"/>
      <c r="B595" s="29"/>
      <c r="C595" s="32"/>
      <c r="D595" s="29"/>
      <c r="E595" s="29"/>
      <c r="F595" s="33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>
      <c r="A596" s="29"/>
      <c r="B596" s="29"/>
      <c r="C596" s="32"/>
      <c r="D596" s="29"/>
      <c r="E596" s="29"/>
      <c r="F596" s="33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>
      <c r="A597" s="29"/>
      <c r="B597" s="29"/>
      <c r="C597" s="32"/>
      <c r="D597" s="29"/>
      <c r="E597" s="29"/>
      <c r="F597" s="33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>
      <c r="A598" s="29"/>
      <c r="B598" s="29"/>
      <c r="C598" s="32"/>
      <c r="D598" s="29"/>
      <c r="E598" s="29"/>
      <c r="F598" s="33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>
      <c r="A599" s="29"/>
      <c r="B599" s="29"/>
      <c r="C599" s="32"/>
      <c r="D599" s="29"/>
      <c r="E599" s="29"/>
      <c r="F599" s="33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>
      <c r="A600" s="29"/>
      <c r="B600" s="29"/>
      <c r="C600" s="32"/>
      <c r="D600" s="29"/>
      <c r="E600" s="29"/>
      <c r="F600" s="33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>
      <c r="A601" s="29"/>
      <c r="B601" s="29"/>
      <c r="C601" s="32"/>
      <c r="D601" s="29"/>
      <c r="E601" s="29"/>
      <c r="F601" s="33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>
      <c r="A602" s="29"/>
      <c r="B602" s="29"/>
      <c r="C602" s="32"/>
      <c r="D602" s="29"/>
      <c r="E602" s="29"/>
      <c r="F602" s="33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>
      <c r="A603" s="29"/>
      <c r="B603" s="29"/>
      <c r="C603" s="32"/>
      <c r="D603" s="29"/>
      <c r="E603" s="29"/>
      <c r="F603" s="33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>
      <c r="A604" s="29"/>
      <c r="B604" s="29"/>
      <c r="C604" s="32"/>
      <c r="D604" s="29"/>
      <c r="E604" s="29"/>
      <c r="F604" s="33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>
      <c r="A605" s="29"/>
      <c r="B605" s="29"/>
      <c r="C605" s="32"/>
      <c r="D605" s="29"/>
      <c r="E605" s="29"/>
      <c r="F605" s="33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>
      <c r="A606" s="29"/>
      <c r="B606" s="29"/>
      <c r="C606" s="32"/>
      <c r="D606" s="29"/>
      <c r="E606" s="29"/>
      <c r="F606" s="33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>
      <c r="A607" s="29"/>
      <c r="B607" s="29"/>
      <c r="C607" s="32"/>
      <c r="D607" s="29"/>
      <c r="E607" s="29"/>
      <c r="F607" s="33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>
      <c r="A608" s="29"/>
      <c r="B608" s="29"/>
      <c r="C608" s="32"/>
      <c r="D608" s="29"/>
      <c r="E608" s="29"/>
      <c r="F608" s="33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>
      <c r="A609" s="29"/>
      <c r="B609" s="29"/>
      <c r="C609" s="32"/>
      <c r="D609" s="29"/>
      <c r="E609" s="29"/>
      <c r="F609" s="33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>
      <c r="A610" s="29"/>
      <c r="B610" s="29"/>
      <c r="C610" s="32"/>
      <c r="D610" s="29"/>
      <c r="E610" s="29"/>
      <c r="F610" s="33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>
      <c r="A611" s="29"/>
      <c r="B611" s="29"/>
      <c r="C611" s="32"/>
      <c r="D611" s="29"/>
      <c r="E611" s="29"/>
      <c r="F611" s="33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>
      <c r="A612" s="29"/>
      <c r="B612" s="29"/>
      <c r="C612" s="32"/>
      <c r="D612" s="29"/>
      <c r="E612" s="29"/>
      <c r="F612" s="33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>
      <c r="A613" s="29"/>
      <c r="B613" s="29"/>
      <c r="C613" s="32"/>
      <c r="D613" s="29"/>
      <c r="E613" s="29"/>
      <c r="F613" s="33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>
      <c r="A614" s="29"/>
      <c r="B614" s="29"/>
      <c r="C614" s="32"/>
      <c r="D614" s="29"/>
      <c r="E614" s="29"/>
      <c r="F614" s="33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>
      <c r="A615" s="29"/>
      <c r="B615" s="29"/>
      <c r="C615" s="32"/>
      <c r="D615" s="29"/>
      <c r="E615" s="29"/>
      <c r="F615" s="33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>
      <c r="A616" s="29"/>
      <c r="B616" s="29"/>
      <c r="C616" s="32"/>
      <c r="D616" s="29"/>
      <c r="E616" s="29"/>
      <c r="F616" s="33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>
      <c r="A617" s="29"/>
      <c r="B617" s="29"/>
      <c r="C617" s="32"/>
      <c r="D617" s="29"/>
      <c r="E617" s="29"/>
      <c r="F617" s="33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>
      <c r="A618" s="29"/>
      <c r="B618" s="29"/>
      <c r="C618" s="32"/>
      <c r="D618" s="29"/>
      <c r="E618" s="29"/>
      <c r="F618" s="33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>
      <c r="A619" s="29"/>
      <c r="B619" s="29"/>
      <c r="C619" s="32"/>
      <c r="D619" s="29"/>
      <c r="E619" s="29"/>
      <c r="F619" s="33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>
      <c r="A620" s="29"/>
      <c r="B620" s="29"/>
      <c r="C620" s="32"/>
      <c r="D620" s="29"/>
      <c r="E620" s="29"/>
      <c r="F620" s="33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>
      <c r="A621" s="29"/>
      <c r="B621" s="29"/>
      <c r="C621" s="32"/>
      <c r="D621" s="29"/>
      <c r="E621" s="29"/>
      <c r="F621" s="33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>
      <c r="A622" s="29"/>
      <c r="B622" s="29"/>
      <c r="C622" s="32"/>
      <c r="D622" s="29"/>
      <c r="E622" s="29"/>
      <c r="F622" s="33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>
      <c r="A623" s="29"/>
      <c r="B623" s="29"/>
      <c r="C623" s="32"/>
      <c r="D623" s="29"/>
      <c r="E623" s="29"/>
      <c r="F623" s="33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>
      <c r="A624" s="29"/>
      <c r="B624" s="29"/>
      <c r="C624" s="32"/>
      <c r="D624" s="29"/>
      <c r="E624" s="29"/>
      <c r="F624" s="33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>
      <c r="A625" s="29"/>
      <c r="B625" s="29"/>
      <c r="C625" s="32"/>
      <c r="D625" s="29"/>
      <c r="E625" s="29"/>
      <c r="F625" s="33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>
      <c r="A626" s="29"/>
      <c r="B626" s="29"/>
      <c r="C626" s="32"/>
      <c r="D626" s="29"/>
      <c r="E626" s="29"/>
      <c r="F626" s="33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>
      <c r="A627" s="29"/>
      <c r="B627" s="29"/>
      <c r="C627" s="32"/>
      <c r="D627" s="29"/>
      <c r="E627" s="29"/>
      <c r="F627" s="33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>
      <c r="A628" s="29"/>
      <c r="B628" s="29"/>
      <c r="C628" s="32"/>
      <c r="D628" s="29"/>
      <c r="E628" s="29"/>
      <c r="F628" s="33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>
      <c r="A629" s="29"/>
      <c r="B629" s="29"/>
      <c r="C629" s="32"/>
      <c r="D629" s="29"/>
      <c r="E629" s="29"/>
      <c r="F629" s="33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>
      <c r="A630" s="29"/>
      <c r="B630" s="29"/>
      <c r="C630" s="32"/>
      <c r="D630" s="29"/>
      <c r="E630" s="29"/>
      <c r="F630" s="33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>
      <c r="A631" s="29"/>
      <c r="B631" s="29"/>
      <c r="C631" s="32"/>
      <c r="D631" s="29"/>
      <c r="E631" s="29"/>
      <c r="F631" s="33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>
      <c r="A632" s="29"/>
      <c r="B632" s="29"/>
      <c r="C632" s="32"/>
      <c r="D632" s="29"/>
      <c r="E632" s="29"/>
      <c r="F632" s="33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>
      <c r="A633" s="29"/>
      <c r="B633" s="29"/>
      <c r="C633" s="32"/>
      <c r="D633" s="29"/>
      <c r="E633" s="29"/>
      <c r="F633" s="33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>
      <c r="A634" s="29"/>
      <c r="B634" s="29"/>
      <c r="C634" s="32"/>
      <c r="D634" s="29"/>
      <c r="E634" s="29"/>
      <c r="F634" s="33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>
      <c r="A635" s="29"/>
      <c r="B635" s="29"/>
      <c r="C635" s="32"/>
      <c r="D635" s="29"/>
      <c r="E635" s="29"/>
      <c r="F635" s="33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>
      <c r="A636" s="29"/>
      <c r="B636" s="29"/>
      <c r="C636" s="32"/>
      <c r="D636" s="29"/>
      <c r="E636" s="29"/>
      <c r="F636" s="33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>
      <c r="A637" s="29"/>
      <c r="B637" s="29"/>
      <c r="C637" s="32"/>
      <c r="D637" s="29"/>
      <c r="E637" s="29"/>
      <c r="F637" s="33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>
      <c r="A638" s="29"/>
      <c r="B638" s="29"/>
      <c r="C638" s="32"/>
      <c r="D638" s="29"/>
      <c r="E638" s="29"/>
      <c r="F638" s="33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>
      <c r="A639" s="29"/>
      <c r="B639" s="29"/>
      <c r="C639" s="32"/>
      <c r="D639" s="29"/>
      <c r="E639" s="29"/>
      <c r="F639" s="33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>
      <c r="A640" s="29"/>
      <c r="B640" s="29"/>
      <c r="C640" s="32"/>
      <c r="D640" s="29"/>
      <c r="E640" s="29"/>
      <c r="F640" s="33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>
      <c r="A641" s="29"/>
      <c r="B641" s="29"/>
      <c r="C641" s="32"/>
      <c r="D641" s="29"/>
      <c r="E641" s="29"/>
      <c r="F641" s="33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>
      <c r="A642" s="29"/>
      <c r="B642" s="29"/>
      <c r="C642" s="32"/>
      <c r="D642" s="29"/>
      <c r="E642" s="29"/>
      <c r="F642" s="33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>
      <c r="A643" s="29"/>
      <c r="B643" s="29"/>
      <c r="C643" s="32"/>
      <c r="D643" s="29"/>
      <c r="E643" s="29"/>
      <c r="F643" s="33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>
      <c r="A644" s="29"/>
      <c r="B644" s="29"/>
      <c r="C644" s="32"/>
      <c r="D644" s="29"/>
      <c r="E644" s="29"/>
      <c r="F644" s="33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>
      <c r="A645" s="29"/>
      <c r="B645" s="29"/>
      <c r="C645" s="32"/>
      <c r="D645" s="29"/>
      <c r="E645" s="29"/>
      <c r="F645" s="33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>
      <c r="A646" s="29"/>
      <c r="B646" s="29"/>
      <c r="C646" s="32"/>
      <c r="D646" s="29"/>
      <c r="E646" s="29"/>
      <c r="F646" s="33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>
      <c r="A647" s="29"/>
      <c r="B647" s="29"/>
      <c r="C647" s="32"/>
      <c r="D647" s="29"/>
      <c r="E647" s="29"/>
      <c r="F647" s="33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>
      <c r="A648" s="29"/>
      <c r="B648" s="29"/>
      <c r="C648" s="32"/>
      <c r="D648" s="29"/>
      <c r="E648" s="29"/>
      <c r="F648" s="33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>
      <c r="A649" s="29"/>
      <c r="B649" s="29"/>
      <c r="C649" s="32"/>
      <c r="D649" s="29"/>
      <c r="E649" s="29"/>
      <c r="F649" s="33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>
      <c r="A650" s="29"/>
      <c r="B650" s="29"/>
      <c r="C650" s="32"/>
      <c r="D650" s="29"/>
      <c r="E650" s="29"/>
      <c r="F650" s="33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>
      <c r="A651" s="29"/>
      <c r="B651" s="29"/>
      <c r="C651" s="32"/>
      <c r="D651" s="29"/>
      <c r="E651" s="29"/>
      <c r="F651" s="33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>
      <c r="A652" s="29"/>
      <c r="B652" s="29"/>
      <c r="C652" s="32"/>
      <c r="D652" s="29"/>
      <c r="E652" s="29"/>
      <c r="F652" s="33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>
      <c r="A653" s="29"/>
      <c r="B653" s="29"/>
      <c r="C653" s="32"/>
      <c r="D653" s="29"/>
      <c r="E653" s="29"/>
      <c r="F653" s="33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>
      <c r="A654" s="29"/>
      <c r="B654" s="29"/>
      <c r="C654" s="32"/>
      <c r="D654" s="29"/>
      <c r="E654" s="29"/>
      <c r="F654" s="33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>
      <c r="A655" s="29"/>
      <c r="B655" s="29"/>
      <c r="C655" s="32"/>
      <c r="D655" s="29"/>
      <c r="E655" s="29"/>
      <c r="F655" s="33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>
      <c r="A656" s="29"/>
      <c r="B656" s="29"/>
      <c r="C656" s="32"/>
      <c r="D656" s="29"/>
      <c r="E656" s="29"/>
      <c r="F656" s="33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>
      <c r="A657" s="29"/>
      <c r="B657" s="29"/>
      <c r="C657" s="32"/>
      <c r="D657" s="29"/>
      <c r="E657" s="29"/>
      <c r="F657" s="33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>
      <c r="A658" s="29"/>
      <c r="B658" s="29"/>
      <c r="C658" s="32"/>
      <c r="D658" s="29"/>
      <c r="E658" s="29"/>
      <c r="F658" s="33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>
      <c r="A659" s="29"/>
      <c r="B659" s="29"/>
      <c r="C659" s="32"/>
      <c r="D659" s="29"/>
      <c r="E659" s="29"/>
      <c r="F659" s="33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>
      <c r="A660" s="29"/>
      <c r="B660" s="29"/>
      <c r="C660" s="32"/>
      <c r="D660" s="29"/>
      <c r="E660" s="29"/>
      <c r="F660" s="33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>
      <c r="A661" s="29"/>
      <c r="B661" s="29"/>
      <c r="C661" s="32"/>
      <c r="D661" s="29"/>
      <c r="E661" s="29"/>
      <c r="F661" s="33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>
      <c r="A662" s="29"/>
      <c r="B662" s="29"/>
      <c r="C662" s="32"/>
      <c r="D662" s="29"/>
      <c r="E662" s="29"/>
      <c r="F662" s="33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>
      <c r="A663" s="29"/>
      <c r="B663" s="29"/>
      <c r="C663" s="32"/>
      <c r="D663" s="29"/>
      <c r="E663" s="29"/>
      <c r="F663" s="33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>
      <c r="A664" s="29"/>
      <c r="B664" s="29"/>
      <c r="C664" s="32"/>
      <c r="D664" s="29"/>
      <c r="E664" s="29"/>
      <c r="F664" s="33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>
      <c r="A665" s="29"/>
      <c r="B665" s="29"/>
      <c r="C665" s="32"/>
      <c r="D665" s="29"/>
      <c r="E665" s="29"/>
      <c r="F665" s="33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>
      <c r="A666" s="29"/>
      <c r="B666" s="29"/>
      <c r="C666" s="32"/>
      <c r="D666" s="29"/>
      <c r="E666" s="29"/>
      <c r="F666" s="33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>
      <c r="A667" s="29"/>
      <c r="B667" s="29"/>
      <c r="C667" s="32"/>
      <c r="D667" s="29"/>
      <c r="E667" s="29"/>
      <c r="F667" s="33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>
      <c r="A668" s="29"/>
      <c r="B668" s="29"/>
      <c r="C668" s="32"/>
      <c r="D668" s="29"/>
      <c r="E668" s="29"/>
      <c r="F668" s="33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>
      <c r="A669" s="29"/>
      <c r="B669" s="29"/>
      <c r="C669" s="32"/>
      <c r="D669" s="29"/>
      <c r="E669" s="29"/>
      <c r="F669" s="33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>
      <c r="A670" s="29"/>
      <c r="B670" s="29"/>
      <c r="C670" s="32"/>
      <c r="D670" s="29"/>
      <c r="E670" s="29"/>
      <c r="F670" s="33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>
      <c r="A671" s="29"/>
      <c r="B671" s="29"/>
      <c r="C671" s="32"/>
      <c r="D671" s="29"/>
      <c r="E671" s="29"/>
      <c r="F671" s="33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>
      <c r="A672" s="29"/>
      <c r="B672" s="29"/>
      <c r="C672" s="32"/>
      <c r="D672" s="29"/>
      <c r="E672" s="29"/>
      <c r="F672" s="33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>
      <c r="A673" s="29"/>
      <c r="B673" s="29"/>
      <c r="C673" s="32"/>
      <c r="D673" s="29"/>
      <c r="E673" s="29"/>
      <c r="F673" s="33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>
      <c r="A674" s="29"/>
      <c r="B674" s="29"/>
      <c r="C674" s="32"/>
      <c r="D674" s="29"/>
      <c r="E674" s="29"/>
      <c r="F674" s="33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>
      <c r="A675" s="29"/>
      <c r="B675" s="29"/>
      <c r="C675" s="32"/>
      <c r="D675" s="29"/>
      <c r="E675" s="29"/>
      <c r="F675" s="33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>
      <c r="A676" s="29"/>
      <c r="B676" s="29"/>
      <c r="C676" s="32"/>
      <c r="D676" s="29"/>
      <c r="E676" s="29"/>
      <c r="F676" s="33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>
      <c r="A677" s="29"/>
      <c r="B677" s="29"/>
      <c r="C677" s="32"/>
      <c r="D677" s="29"/>
      <c r="E677" s="29"/>
      <c r="F677" s="33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>
      <c r="A678" s="29"/>
      <c r="B678" s="29"/>
      <c r="C678" s="32"/>
      <c r="D678" s="29"/>
      <c r="E678" s="29"/>
      <c r="F678" s="33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>
      <c r="A679" s="29"/>
      <c r="B679" s="29"/>
      <c r="C679" s="32"/>
      <c r="D679" s="29"/>
      <c r="E679" s="29"/>
      <c r="F679" s="33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>
      <c r="A680" s="29"/>
      <c r="B680" s="29"/>
      <c r="C680" s="32"/>
      <c r="D680" s="29"/>
      <c r="E680" s="29"/>
      <c r="F680" s="33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>
      <c r="A681" s="29"/>
      <c r="B681" s="29"/>
      <c r="C681" s="32"/>
      <c r="D681" s="29"/>
      <c r="E681" s="29"/>
      <c r="F681" s="33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>
      <c r="A682" s="29"/>
      <c r="B682" s="29"/>
      <c r="C682" s="32"/>
      <c r="D682" s="29"/>
      <c r="E682" s="29"/>
      <c r="F682" s="33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>
      <c r="A683" s="29"/>
      <c r="B683" s="29"/>
      <c r="C683" s="32"/>
      <c r="D683" s="29"/>
      <c r="E683" s="29"/>
      <c r="F683" s="33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>
      <c r="A684" s="29"/>
      <c r="B684" s="29"/>
      <c r="C684" s="32"/>
      <c r="D684" s="29"/>
      <c r="E684" s="29"/>
      <c r="F684" s="33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>
      <c r="A685" s="29"/>
      <c r="B685" s="29"/>
      <c r="C685" s="32"/>
      <c r="D685" s="29"/>
      <c r="E685" s="29"/>
      <c r="F685" s="33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>
      <c r="A686" s="29"/>
      <c r="B686" s="29"/>
      <c r="C686" s="32"/>
      <c r="D686" s="29"/>
      <c r="E686" s="29"/>
      <c r="F686" s="33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>
      <c r="A687" s="29"/>
      <c r="B687" s="29"/>
      <c r="C687" s="32"/>
      <c r="D687" s="29"/>
      <c r="E687" s="29"/>
      <c r="F687" s="33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>
      <c r="A688" s="29"/>
      <c r="B688" s="29"/>
      <c r="C688" s="32"/>
      <c r="D688" s="29"/>
      <c r="E688" s="29"/>
      <c r="F688" s="33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>
      <c r="A689" s="29"/>
      <c r="B689" s="29"/>
      <c r="C689" s="32"/>
      <c r="D689" s="29"/>
      <c r="E689" s="29"/>
      <c r="F689" s="33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>
      <c r="A690" s="29"/>
      <c r="B690" s="29"/>
      <c r="C690" s="32"/>
      <c r="D690" s="29"/>
      <c r="E690" s="29"/>
      <c r="F690" s="33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>
      <c r="A691" s="29"/>
      <c r="B691" s="29"/>
      <c r="C691" s="32"/>
      <c r="D691" s="29"/>
      <c r="E691" s="29"/>
      <c r="F691" s="33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>
      <c r="A692" s="29"/>
      <c r="B692" s="29"/>
      <c r="C692" s="32"/>
      <c r="D692" s="29"/>
      <c r="E692" s="29"/>
      <c r="F692" s="33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>
      <c r="A693" s="29"/>
      <c r="B693" s="29"/>
      <c r="C693" s="32"/>
      <c r="D693" s="29"/>
      <c r="E693" s="29"/>
      <c r="F693" s="33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>
      <c r="A694" s="29"/>
      <c r="B694" s="29"/>
      <c r="C694" s="32"/>
      <c r="D694" s="29"/>
      <c r="E694" s="29"/>
      <c r="F694" s="33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>
      <c r="A695" s="29"/>
      <c r="B695" s="29"/>
      <c r="C695" s="32"/>
      <c r="D695" s="29"/>
      <c r="E695" s="29"/>
      <c r="F695" s="33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>
      <c r="A696" s="29"/>
      <c r="B696" s="29"/>
      <c r="C696" s="32"/>
      <c r="D696" s="29"/>
      <c r="E696" s="29"/>
      <c r="F696" s="33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>
      <c r="A697" s="29"/>
      <c r="B697" s="29"/>
      <c r="C697" s="32"/>
      <c r="D697" s="29"/>
      <c r="E697" s="29"/>
      <c r="F697" s="33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>
      <c r="A698" s="29"/>
      <c r="B698" s="29"/>
      <c r="C698" s="32"/>
      <c r="D698" s="29"/>
      <c r="E698" s="29"/>
      <c r="F698" s="33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>
      <c r="A699" s="29"/>
      <c r="B699" s="29"/>
      <c r="C699" s="32"/>
      <c r="D699" s="29"/>
      <c r="E699" s="29"/>
      <c r="F699" s="33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>
      <c r="A700" s="29"/>
      <c r="B700" s="29"/>
      <c r="C700" s="32"/>
      <c r="D700" s="29"/>
      <c r="E700" s="29"/>
      <c r="F700" s="33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>
      <c r="A701" s="29"/>
      <c r="B701" s="29"/>
      <c r="C701" s="32"/>
      <c r="D701" s="29"/>
      <c r="E701" s="29"/>
      <c r="F701" s="33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>
      <c r="A702" s="29"/>
      <c r="B702" s="29"/>
      <c r="C702" s="32"/>
      <c r="D702" s="29"/>
      <c r="E702" s="29"/>
      <c r="F702" s="33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>
      <c r="A703" s="29"/>
      <c r="B703" s="29"/>
      <c r="C703" s="32"/>
      <c r="D703" s="29"/>
      <c r="E703" s="29"/>
      <c r="F703" s="33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>
      <c r="A704" s="29"/>
      <c r="B704" s="29"/>
      <c r="C704" s="32"/>
      <c r="D704" s="29"/>
      <c r="E704" s="29"/>
      <c r="F704" s="33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>
      <c r="A705" s="29"/>
      <c r="B705" s="29"/>
      <c r="C705" s="32"/>
      <c r="D705" s="29"/>
      <c r="E705" s="29"/>
      <c r="F705" s="33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>
      <c r="A706" s="29"/>
      <c r="B706" s="29"/>
      <c r="C706" s="32"/>
      <c r="D706" s="29"/>
      <c r="E706" s="29"/>
      <c r="F706" s="33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>
      <c r="A707" s="29"/>
      <c r="B707" s="29"/>
      <c r="C707" s="32"/>
      <c r="D707" s="29"/>
      <c r="E707" s="29"/>
      <c r="F707" s="33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>
      <c r="A708" s="29"/>
      <c r="B708" s="29"/>
      <c r="C708" s="32"/>
      <c r="D708" s="29"/>
      <c r="E708" s="29"/>
      <c r="F708" s="33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>
      <c r="A709" s="29"/>
      <c r="B709" s="29"/>
      <c r="C709" s="32"/>
      <c r="D709" s="29"/>
      <c r="E709" s="29"/>
      <c r="F709" s="33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>
      <c r="A710" s="29"/>
      <c r="B710" s="29"/>
      <c r="C710" s="32"/>
      <c r="D710" s="29"/>
      <c r="E710" s="29"/>
      <c r="F710" s="33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>
      <c r="A711" s="29"/>
      <c r="B711" s="29"/>
      <c r="C711" s="32"/>
      <c r="D711" s="29"/>
      <c r="E711" s="29"/>
      <c r="F711" s="33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>
      <c r="A712" s="29"/>
      <c r="B712" s="29"/>
      <c r="C712" s="32"/>
      <c r="D712" s="29"/>
      <c r="E712" s="29"/>
      <c r="F712" s="33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>
      <c r="A713" s="29"/>
      <c r="B713" s="29"/>
      <c r="C713" s="32"/>
      <c r="D713" s="29"/>
      <c r="E713" s="29"/>
      <c r="F713" s="33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>
      <c r="A714" s="29"/>
      <c r="B714" s="29"/>
      <c r="C714" s="32"/>
      <c r="D714" s="29"/>
      <c r="E714" s="29"/>
      <c r="F714" s="33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>
      <c r="A715" s="29"/>
      <c r="B715" s="29"/>
      <c r="C715" s="32"/>
      <c r="D715" s="29"/>
      <c r="E715" s="29"/>
      <c r="F715" s="33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>
      <c r="A716" s="29"/>
      <c r="B716" s="29"/>
      <c r="C716" s="32"/>
      <c r="D716" s="29"/>
      <c r="E716" s="29"/>
      <c r="F716" s="33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>
      <c r="A717" s="29"/>
      <c r="B717" s="29"/>
      <c r="C717" s="32"/>
      <c r="D717" s="29"/>
      <c r="E717" s="29"/>
      <c r="F717" s="33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>
      <c r="A718" s="29"/>
      <c r="B718" s="29"/>
      <c r="C718" s="32"/>
      <c r="D718" s="29"/>
      <c r="E718" s="29"/>
      <c r="F718" s="33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>
      <c r="A719" s="29"/>
      <c r="B719" s="29"/>
      <c r="C719" s="32"/>
      <c r="D719" s="29"/>
      <c r="E719" s="29"/>
      <c r="F719" s="33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>
      <c r="A720" s="29"/>
      <c r="B720" s="29"/>
      <c r="C720" s="32"/>
      <c r="D720" s="29"/>
      <c r="E720" s="29"/>
      <c r="F720" s="33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>
      <c r="A721" s="29"/>
      <c r="B721" s="29"/>
      <c r="C721" s="32"/>
      <c r="D721" s="29"/>
      <c r="E721" s="29"/>
      <c r="F721" s="33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>
      <c r="A722" s="29"/>
      <c r="B722" s="29"/>
      <c r="C722" s="32"/>
      <c r="D722" s="29"/>
      <c r="E722" s="29"/>
      <c r="F722" s="33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>
      <c r="A723" s="29"/>
      <c r="B723" s="29"/>
      <c r="C723" s="32"/>
      <c r="D723" s="29"/>
      <c r="E723" s="29"/>
      <c r="F723" s="33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>
      <c r="A724" s="29"/>
      <c r="B724" s="29"/>
      <c r="C724" s="32"/>
      <c r="D724" s="29"/>
      <c r="E724" s="29"/>
      <c r="F724" s="33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>
      <c r="A725" s="29"/>
      <c r="B725" s="29"/>
      <c r="C725" s="32"/>
      <c r="D725" s="29"/>
      <c r="E725" s="29"/>
      <c r="F725" s="33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>
      <c r="A726" s="29"/>
      <c r="B726" s="29"/>
      <c r="C726" s="32"/>
      <c r="D726" s="29"/>
      <c r="E726" s="29"/>
      <c r="F726" s="33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>
      <c r="A727" s="29"/>
      <c r="B727" s="29"/>
      <c r="C727" s="32"/>
      <c r="D727" s="29"/>
      <c r="E727" s="29"/>
      <c r="F727" s="33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>
      <c r="A728" s="29"/>
      <c r="B728" s="29"/>
      <c r="C728" s="32"/>
      <c r="D728" s="29"/>
      <c r="E728" s="29"/>
      <c r="F728" s="33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>
      <c r="A729" s="29"/>
      <c r="B729" s="29"/>
      <c r="C729" s="32"/>
      <c r="D729" s="29"/>
      <c r="E729" s="29"/>
      <c r="F729" s="33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>
      <c r="A730" s="29"/>
      <c r="B730" s="29"/>
      <c r="C730" s="32"/>
      <c r="D730" s="29"/>
      <c r="E730" s="29"/>
      <c r="F730" s="33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>
      <c r="A731" s="29"/>
      <c r="B731" s="29"/>
      <c r="C731" s="32"/>
      <c r="D731" s="29"/>
      <c r="E731" s="29"/>
      <c r="F731" s="33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>
      <c r="A732" s="29"/>
      <c r="B732" s="29"/>
      <c r="C732" s="32"/>
      <c r="D732" s="29"/>
      <c r="E732" s="29"/>
      <c r="F732" s="33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>
      <c r="A733" s="29"/>
      <c r="B733" s="29"/>
      <c r="C733" s="32"/>
      <c r="D733" s="29"/>
      <c r="E733" s="29"/>
      <c r="F733" s="33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>
      <c r="A734" s="29"/>
      <c r="B734" s="29"/>
      <c r="C734" s="32"/>
      <c r="D734" s="29"/>
      <c r="E734" s="29"/>
      <c r="F734" s="33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>
      <c r="A735" s="29"/>
      <c r="B735" s="29"/>
      <c r="C735" s="32"/>
      <c r="D735" s="29"/>
      <c r="E735" s="29"/>
      <c r="F735" s="33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>
      <c r="A736" s="29"/>
      <c r="B736" s="29"/>
      <c r="C736" s="32"/>
      <c r="D736" s="29"/>
      <c r="E736" s="29"/>
      <c r="F736" s="33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>
      <c r="A737" s="29"/>
      <c r="B737" s="29"/>
      <c r="C737" s="32"/>
      <c r="D737" s="29"/>
      <c r="E737" s="29"/>
      <c r="F737" s="33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>
      <c r="A738" s="29"/>
      <c r="B738" s="29"/>
      <c r="C738" s="32"/>
      <c r="D738" s="29"/>
      <c r="E738" s="29"/>
      <c r="F738" s="33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>
      <c r="A739" s="29"/>
      <c r="B739" s="29"/>
      <c r="C739" s="32"/>
      <c r="D739" s="29"/>
      <c r="E739" s="29"/>
      <c r="F739" s="33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>
      <c r="A740" s="29"/>
      <c r="B740" s="29"/>
      <c r="C740" s="32"/>
      <c r="D740" s="29"/>
      <c r="E740" s="29"/>
      <c r="F740" s="33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>
      <c r="A741" s="29"/>
      <c r="B741" s="29"/>
      <c r="C741" s="32"/>
      <c r="D741" s="29"/>
      <c r="E741" s="29"/>
      <c r="F741" s="33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>
      <c r="A742" s="29"/>
      <c r="B742" s="29"/>
      <c r="C742" s="32"/>
      <c r="D742" s="29"/>
      <c r="E742" s="29"/>
      <c r="F742" s="33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>
      <c r="A743" s="29"/>
      <c r="B743" s="29"/>
      <c r="C743" s="32"/>
      <c r="D743" s="29"/>
      <c r="E743" s="29"/>
      <c r="F743" s="33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>
      <c r="A744" s="29"/>
      <c r="B744" s="29"/>
      <c r="C744" s="32"/>
      <c r="D744" s="29"/>
      <c r="E744" s="29"/>
      <c r="F744" s="33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>
      <c r="A745" s="29"/>
      <c r="B745" s="29"/>
      <c r="C745" s="32"/>
      <c r="D745" s="29"/>
      <c r="E745" s="29"/>
      <c r="F745" s="33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>
      <c r="A746" s="29"/>
      <c r="B746" s="29"/>
      <c r="C746" s="32"/>
      <c r="D746" s="29"/>
      <c r="E746" s="29"/>
      <c r="F746" s="33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>
      <c r="A747" s="29"/>
      <c r="B747" s="29"/>
      <c r="C747" s="32"/>
      <c r="D747" s="29"/>
      <c r="E747" s="29"/>
      <c r="F747" s="33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>
      <c r="A748" s="29"/>
      <c r="B748" s="29"/>
      <c r="C748" s="32"/>
      <c r="D748" s="29"/>
      <c r="E748" s="29"/>
      <c r="F748" s="33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>
      <c r="A749" s="29"/>
      <c r="B749" s="29"/>
      <c r="C749" s="32"/>
      <c r="D749" s="29"/>
      <c r="E749" s="29"/>
      <c r="F749" s="33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>
      <c r="A750" s="29"/>
      <c r="B750" s="29"/>
      <c r="C750" s="32"/>
      <c r="D750" s="29"/>
      <c r="E750" s="29"/>
      <c r="F750" s="33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>
      <c r="A751" s="29"/>
      <c r="B751" s="29"/>
      <c r="C751" s="32"/>
      <c r="D751" s="29"/>
      <c r="E751" s="29"/>
      <c r="F751" s="33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>
      <c r="A752" s="29"/>
      <c r="B752" s="29"/>
      <c r="C752" s="32"/>
      <c r="D752" s="29"/>
      <c r="E752" s="29"/>
      <c r="F752" s="33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>
      <c r="A753" s="29"/>
      <c r="B753" s="29"/>
      <c r="C753" s="32"/>
      <c r="D753" s="29"/>
      <c r="E753" s="29"/>
      <c r="F753" s="33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>
      <c r="A754" s="29"/>
      <c r="B754" s="29"/>
      <c r="C754" s="32"/>
      <c r="D754" s="29"/>
      <c r="E754" s="29"/>
      <c r="F754" s="33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>
      <c r="A755" s="29"/>
      <c r="B755" s="29"/>
      <c r="C755" s="32"/>
      <c r="D755" s="29"/>
      <c r="E755" s="29"/>
      <c r="F755" s="33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>
      <c r="A756" s="29"/>
      <c r="B756" s="29"/>
      <c r="C756" s="32"/>
      <c r="D756" s="29"/>
      <c r="E756" s="29"/>
      <c r="F756" s="33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>
      <c r="A757" s="29"/>
      <c r="B757" s="29"/>
      <c r="C757" s="32"/>
      <c r="D757" s="29"/>
      <c r="E757" s="29"/>
      <c r="F757" s="33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>
      <c r="A758" s="29"/>
      <c r="B758" s="29"/>
      <c r="C758" s="32"/>
      <c r="D758" s="29"/>
      <c r="E758" s="29"/>
      <c r="F758" s="33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>
      <c r="A759" s="29"/>
      <c r="B759" s="29"/>
      <c r="C759" s="32"/>
      <c r="D759" s="29"/>
      <c r="E759" s="29"/>
      <c r="F759" s="33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>
      <c r="A760" s="29"/>
      <c r="B760" s="29"/>
      <c r="C760" s="32"/>
      <c r="D760" s="29"/>
      <c r="E760" s="29"/>
      <c r="F760" s="33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>
      <c r="A761" s="29"/>
      <c r="B761" s="29"/>
      <c r="C761" s="32"/>
      <c r="D761" s="29"/>
      <c r="E761" s="29"/>
      <c r="F761" s="33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>
      <c r="A762" s="29"/>
      <c r="B762" s="29"/>
      <c r="C762" s="32"/>
      <c r="D762" s="29"/>
      <c r="E762" s="29"/>
      <c r="F762" s="33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>
      <c r="A763" s="29"/>
      <c r="B763" s="29"/>
      <c r="C763" s="32"/>
      <c r="D763" s="29"/>
      <c r="E763" s="29"/>
      <c r="F763" s="33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>
      <c r="A764" s="29"/>
      <c r="B764" s="29"/>
      <c r="C764" s="32"/>
      <c r="D764" s="29"/>
      <c r="E764" s="29"/>
      <c r="F764" s="33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>
      <c r="A765" s="29"/>
      <c r="B765" s="29"/>
      <c r="C765" s="32"/>
      <c r="D765" s="29"/>
      <c r="E765" s="29"/>
      <c r="F765" s="33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>
      <c r="A766" s="29"/>
      <c r="B766" s="29"/>
      <c r="C766" s="32"/>
      <c r="D766" s="29"/>
      <c r="E766" s="29"/>
      <c r="F766" s="33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>
      <c r="A767" s="29"/>
      <c r="B767" s="29"/>
      <c r="C767" s="32"/>
      <c r="D767" s="29"/>
      <c r="E767" s="29"/>
      <c r="F767" s="33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>
      <c r="A768" s="29"/>
      <c r="B768" s="29"/>
      <c r="C768" s="32"/>
      <c r="D768" s="29"/>
      <c r="E768" s="29"/>
      <c r="F768" s="33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>
      <c r="A769" s="29"/>
      <c r="B769" s="29"/>
      <c r="C769" s="32"/>
      <c r="D769" s="29"/>
      <c r="E769" s="29"/>
      <c r="F769" s="33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>
      <c r="A770" s="29"/>
      <c r="B770" s="29"/>
      <c r="C770" s="32"/>
      <c r="D770" s="29"/>
      <c r="E770" s="29"/>
      <c r="F770" s="33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>
      <c r="A771" s="29"/>
      <c r="B771" s="29"/>
      <c r="C771" s="32"/>
      <c r="D771" s="29"/>
      <c r="E771" s="29"/>
      <c r="F771" s="33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>
      <c r="A772" s="29"/>
      <c r="B772" s="29"/>
      <c r="C772" s="32"/>
      <c r="D772" s="29"/>
      <c r="E772" s="29"/>
      <c r="F772" s="33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>
      <c r="A773" s="29"/>
      <c r="B773" s="29"/>
      <c r="C773" s="32"/>
      <c r="D773" s="29"/>
      <c r="E773" s="29"/>
      <c r="F773" s="33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>
      <c r="A774" s="29"/>
      <c r="B774" s="29"/>
      <c r="C774" s="32"/>
      <c r="D774" s="29"/>
      <c r="E774" s="29"/>
      <c r="F774" s="33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>
      <c r="A775" s="29"/>
      <c r="B775" s="29"/>
      <c r="C775" s="32"/>
      <c r="D775" s="29"/>
      <c r="E775" s="29"/>
      <c r="F775" s="33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>
      <c r="A776" s="29"/>
      <c r="B776" s="29"/>
      <c r="C776" s="32"/>
      <c r="D776" s="29"/>
      <c r="E776" s="29"/>
      <c r="F776" s="33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>
      <c r="A777" s="29"/>
      <c r="B777" s="29"/>
      <c r="C777" s="32"/>
      <c r="D777" s="29"/>
      <c r="E777" s="29"/>
      <c r="F777" s="33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>
      <c r="A778" s="29"/>
      <c r="B778" s="29"/>
      <c r="C778" s="32"/>
      <c r="D778" s="29"/>
      <c r="E778" s="29"/>
      <c r="F778" s="33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>
      <c r="A779" s="29"/>
      <c r="B779" s="29"/>
      <c r="C779" s="32"/>
      <c r="D779" s="29"/>
      <c r="E779" s="29"/>
      <c r="F779" s="33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>
      <c r="A780" s="29"/>
      <c r="B780" s="29"/>
      <c r="C780" s="32"/>
      <c r="D780" s="29"/>
      <c r="E780" s="29"/>
      <c r="F780" s="33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>
      <c r="A781" s="29"/>
      <c r="B781" s="29"/>
      <c r="C781" s="32"/>
      <c r="D781" s="29"/>
      <c r="E781" s="29"/>
      <c r="F781" s="33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>
      <c r="A782" s="29"/>
      <c r="B782" s="29"/>
      <c r="C782" s="32"/>
      <c r="D782" s="29"/>
      <c r="E782" s="29"/>
      <c r="F782" s="33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>
      <c r="A783" s="29"/>
      <c r="B783" s="29"/>
      <c r="C783" s="32"/>
      <c r="D783" s="29"/>
      <c r="E783" s="29"/>
      <c r="F783" s="33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>
      <c r="A784" s="29"/>
      <c r="B784" s="29"/>
      <c r="C784" s="32"/>
      <c r="D784" s="29"/>
      <c r="E784" s="29"/>
      <c r="F784" s="33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>
      <c r="A785" s="29"/>
      <c r="B785" s="29"/>
      <c r="C785" s="32"/>
      <c r="D785" s="29"/>
      <c r="E785" s="29"/>
      <c r="F785" s="33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>
      <c r="A786" s="29"/>
      <c r="B786" s="29"/>
      <c r="C786" s="32"/>
      <c r="D786" s="29"/>
      <c r="E786" s="29"/>
      <c r="F786" s="33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>
      <c r="A787" s="29"/>
      <c r="B787" s="29"/>
      <c r="C787" s="32"/>
      <c r="D787" s="29"/>
      <c r="E787" s="29"/>
      <c r="F787" s="33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>
      <c r="A788" s="29"/>
      <c r="B788" s="29"/>
      <c r="C788" s="32"/>
      <c r="D788" s="29"/>
      <c r="E788" s="29"/>
      <c r="F788" s="33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>
      <c r="A789" s="29"/>
      <c r="B789" s="29"/>
      <c r="C789" s="32"/>
      <c r="D789" s="29"/>
      <c r="E789" s="29"/>
      <c r="F789" s="33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>
      <c r="A790" s="29"/>
      <c r="B790" s="29"/>
      <c r="C790" s="32"/>
      <c r="D790" s="29"/>
      <c r="E790" s="29"/>
      <c r="F790" s="33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>
      <c r="A791" s="29"/>
      <c r="B791" s="29"/>
      <c r="C791" s="32"/>
      <c r="D791" s="29"/>
      <c r="E791" s="29"/>
      <c r="F791" s="33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>
      <c r="A792" s="29"/>
      <c r="B792" s="29"/>
      <c r="C792" s="32"/>
      <c r="D792" s="29"/>
      <c r="E792" s="29"/>
      <c r="F792" s="33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>
      <c r="A793" s="29"/>
      <c r="B793" s="29"/>
      <c r="C793" s="32"/>
      <c r="D793" s="29"/>
      <c r="E793" s="29"/>
      <c r="F793" s="33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>
      <c r="A794" s="29"/>
      <c r="B794" s="29"/>
      <c r="C794" s="32"/>
      <c r="D794" s="29"/>
      <c r="E794" s="29"/>
      <c r="F794" s="33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>
      <c r="A795" s="29"/>
      <c r="B795" s="29"/>
      <c r="C795" s="32"/>
      <c r="D795" s="29"/>
      <c r="E795" s="29"/>
      <c r="F795" s="33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>
      <c r="A796" s="29"/>
      <c r="B796" s="29"/>
      <c r="C796" s="32"/>
      <c r="D796" s="29"/>
      <c r="E796" s="29"/>
      <c r="F796" s="33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>
      <c r="A797" s="29"/>
      <c r="B797" s="29"/>
      <c r="C797" s="32"/>
      <c r="D797" s="29"/>
      <c r="E797" s="29"/>
      <c r="F797" s="33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>
      <c r="A798" s="29"/>
      <c r="B798" s="29"/>
      <c r="C798" s="32"/>
      <c r="D798" s="29"/>
      <c r="E798" s="29"/>
      <c r="F798" s="33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>
      <c r="A799" s="29"/>
      <c r="B799" s="29"/>
      <c r="C799" s="32"/>
      <c r="D799" s="29"/>
      <c r="E799" s="29"/>
      <c r="F799" s="33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>
      <c r="A800" s="29"/>
      <c r="B800" s="29"/>
      <c r="C800" s="32"/>
      <c r="D800" s="29"/>
      <c r="E800" s="29"/>
      <c r="F800" s="33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>
      <c r="A801" s="29"/>
      <c r="B801" s="29"/>
      <c r="C801" s="32"/>
      <c r="D801" s="29"/>
      <c r="E801" s="29"/>
      <c r="F801" s="33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>
      <c r="A802" s="29"/>
      <c r="B802" s="29"/>
      <c r="C802" s="32"/>
      <c r="D802" s="29"/>
      <c r="E802" s="29"/>
      <c r="F802" s="33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>
      <c r="A803" s="29"/>
      <c r="B803" s="29"/>
      <c r="C803" s="32"/>
      <c r="D803" s="29"/>
      <c r="E803" s="29"/>
      <c r="F803" s="33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>
      <c r="A804" s="29"/>
      <c r="B804" s="29"/>
      <c r="C804" s="32"/>
      <c r="D804" s="29"/>
      <c r="E804" s="29"/>
      <c r="F804" s="33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>
      <c r="A805" s="29"/>
      <c r="B805" s="29"/>
      <c r="C805" s="32"/>
      <c r="D805" s="29"/>
      <c r="E805" s="29"/>
      <c r="F805" s="33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>
      <c r="A806" s="29"/>
      <c r="B806" s="29"/>
      <c r="C806" s="32"/>
      <c r="D806" s="29"/>
      <c r="E806" s="29"/>
      <c r="F806" s="33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>
      <c r="A807" s="29"/>
      <c r="B807" s="29"/>
      <c r="C807" s="32"/>
      <c r="D807" s="29"/>
      <c r="E807" s="29"/>
      <c r="F807" s="33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>
      <c r="A808" s="29"/>
      <c r="B808" s="29"/>
      <c r="C808" s="32"/>
      <c r="D808" s="29"/>
      <c r="E808" s="29"/>
      <c r="F808" s="33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>
      <c r="A809" s="29"/>
      <c r="B809" s="29"/>
      <c r="C809" s="32"/>
      <c r="D809" s="29"/>
      <c r="E809" s="29"/>
      <c r="F809" s="33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>
      <c r="A810" s="29"/>
      <c r="B810" s="29"/>
      <c r="C810" s="32"/>
      <c r="D810" s="29"/>
      <c r="E810" s="29"/>
      <c r="F810" s="33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>
      <c r="A811" s="29"/>
      <c r="B811" s="29"/>
      <c r="C811" s="32"/>
      <c r="D811" s="29"/>
      <c r="E811" s="29"/>
      <c r="F811" s="33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>
      <c r="A812" s="29"/>
      <c r="B812" s="29"/>
      <c r="C812" s="32"/>
      <c r="D812" s="29"/>
      <c r="E812" s="29"/>
      <c r="F812" s="33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>
      <c r="A813" s="29"/>
      <c r="B813" s="29"/>
      <c r="C813" s="32"/>
      <c r="D813" s="29"/>
      <c r="E813" s="29"/>
      <c r="F813" s="33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>
      <c r="A814" s="29"/>
      <c r="B814" s="29"/>
      <c r="C814" s="32"/>
      <c r="D814" s="29"/>
      <c r="E814" s="29"/>
      <c r="F814" s="33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>
      <c r="A815" s="29"/>
      <c r="B815" s="29"/>
      <c r="C815" s="32"/>
      <c r="D815" s="29"/>
      <c r="E815" s="29"/>
      <c r="F815" s="33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>
      <c r="A816" s="29"/>
      <c r="B816" s="29"/>
      <c r="C816" s="32"/>
      <c r="D816" s="29"/>
      <c r="E816" s="29"/>
      <c r="F816" s="33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>
      <c r="A817" s="29"/>
      <c r="B817" s="29"/>
      <c r="C817" s="32"/>
      <c r="D817" s="29"/>
      <c r="E817" s="29"/>
      <c r="F817" s="33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>
      <c r="A818" s="29"/>
      <c r="B818" s="29"/>
      <c r="C818" s="32"/>
      <c r="D818" s="29"/>
      <c r="E818" s="29"/>
      <c r="F818" s="33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>
      <c r="A819" s="29"/>
      <c r="B819" s="29"/>
      <c r="C819" s="32"/>
      <c r="D819" s="29"/>
      <c r="E819" s="29"/>
      <c r="F819" s="33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>
      <c r="A820" s="29"/>
      <c r="B820" s="29"/>
      <c r="C820" s="32"/>
      <c r="D820" s="29"/>
      <c r="E820" s="29"/>
      <c r="F820" s="33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>
      <c r="A821" s="29"/>
      <c r="B821" s="29"/>
      <c r="C821" s="32"/>
      <c r="D821" s="29"/>
      <c r="E821" s="29"/>
      <c r="F821" s="33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>
      <c r="A822" s="29"/>
      <c r="B822" s="29"/>
      <c r="C822" s="32"/>
      <c r="D822" s="29"/>
      <c r="E822" s="29"/>
      <c r="F822" s="33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>
      <c r="A823" s="29"/>
      <c r="B823" s="29"/>
      <c r="C823" s="32"/>
      <c r="D823" s="29"/>
      <c r="E823" s="29"/>
      <c r="F823" s="33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>
      <c r="A824" s="29"/>
      <c r="B824" s="29"/>
      <c r="C824" s="32"/>
      <c r="D824" s="29"/>
      <c r="E824" s="29"/>
      <c r="F824" s="33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>
      <c r="A825" s="29"/>
      <c r="B825" s="29"/>
      <c r="C825" s="32"/>
      <c r="D825" s="29"/>
      <c r="E825" s="29"/>
      <c r="F825" s="33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>
      <c r="A826" s="29"/>
      <c r="B826" s="29"/>
      <c r="C826" s="32"/>
      <c r="D826" s="29"/>
      <c r="E826" s="29"/>
      <c r="F826" s="33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>
      <c r="A827" s="29"/>
      <c r="B827" s="29"/>
      <c r="C827" s="32"/>
      <c r="D827" s="29"/>
      <c r="E827" s="29"/>
      <c r="F827" s="33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>
      <c r="A828" s="29"/>
      <c r="B828" s="29"/>
      <c r="C828" s="32"/>
      <c r="D828" s="29"/>
      <c r="E828" s="29"/>
      <c r="F828" s="33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>
      <c r="A829" s="29"/>
      <c r="B829" s="29"/>
      <c r="C829" s="32"/>
      <c r="D829" s="29"/>
      <c r="E829" s="29"/>
      <c r="F829" s="33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>
      <c r="A830" s="29"/>
      <c r="B830" s="29"/>
      <c r="C830" s="32"/>
      <c r="D830" s="29"/>
      <c r="E830" s="29"/>
      <c r="F830" s="33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>
      <c r="A831" s="29"/>
      <c r="B831" s="29"/>
      <c r="C831" s="32"/>
      <c r="D831" s="29"/>
      <c r="E831" s="29"/>
      <c r="F831" s="33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>
      <c r="A832" s="29"/>
      <c r="B832" s="29"/>
      <c r="C832" s="32"/>
      <c r="D832" s="29"/>
      <c r="E832" s="29"/>
      <c r="F832" s="33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>
      <c r="A833" s="29"/>
      <c r="B833" s="29"/>
      <c r="C833" s="32"/>
      <c r="D833" s="29"/>
      <c r="E833" s="29"/>
      <c r="F833" s="33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>
      <c r="A834" s="29"/>
      <c r="B834" s="29"/>
      <c r="C834" s="32"/>
      <c r="D834" s="29"/>
      <c r="E834" s="29"/>
      <c r="F834" s="33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>
      <c r="A835" s="29"/>
      <c r="B835" s="29"/>
      <c r="C835" s="32"/>
      <c r="D835" s="29"/>
      <c r="E835" s="29"/>
      <c r="F835" s="33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>
      <c r="A836" s="29"/>
      <c r="B836" s="29"/>
      <c r="C836" s="32"/>
      <c r="D836" s="29"/>
      <c r="E836" s="29"/>
      <c r="F836" s="33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>
      <c r="A837" s="29"/>
      <c r="B837" s="29"/>
      <c r="C837" s="32"/>
      <c r="D837" s="29"/>
      <c r="E837" s="29"/>
      <c r="F837" s="33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>
      <c r="A838" s="29"/>
      <c r="B838" s="29"/>
      <c r="C838" s="32"/>
      <c r="D838" s="29"/>
      <c r="E838" s="29"/>
      <c r="F838" s="33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>
      <c r="A839" s="29"/>
      <c r="B839" s="29"/>
      <c r="C839" s="32"/>
      <c r="D839" s="29"/>
      <c r="E839" s="29"/>
      <c r="F839" s="33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>
      <c r="A840" s="29"/>
      <c r="B840" s="29"/>
      <c r="C840" s="32"/>
      <c r="D840" s="29"/>
      <c r="E840" s="29"/>
      <c r="F840" s="33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>
      <c r="A841" s="29"/>
      <c r="B841" s="29"/>
      <c r="C841" s="32"/>
      <c r="D841" s="29"/>
      <c r="E841" s="29"/>
      <c r="F841" s="33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>
      <c r="A842" s="29"/>
      <c r="B842" s="29"/>
      <c r="C842" s="32"/>
      <c r="D842" s="29"/>
      <c r="E842" s="29"/>
      <c r="F842" s="33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>
      <c r="A843" s="29"/>
      <c r="B843" s="29"/>
      <c r="C843" s="32"/>
      <c r="D843" s="29"/>
      <c r="E843" s="29"/>
      <c r="F843" s="33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>
      <c r="A844" s="29"/>
      <c r="B844" s="29"/>
      <c r="C844" s="32"/>
      <c r="D844" s="29"/>
      <c r="E844" s="29"/>
      <c r="F844" s="33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>
      <c r="A845" s="29"/>
      <c r="B845" s="29"/>
      <c r="C845" s="32"/>
      <c r="D845" s="29"/>
      <c r="E845" s="29"/>
      <c r="F845" s="33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>
      <c r="A846" s="29"/>
      <c r="B846" s="29"/>
      <c r="C846" s="32"/>
      <c r="D846" s="29"/>
      <c r="E846" s="29"/>
      <c r="F846" s="33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>
      <c r="A847" s="29"/>
      <c r="B847" s="29"/>
      <c r="C847" s="32"/>
      <c r="D847" s="29"/>
      <c r="E847" s="29"/>
      <c r="F847" s="33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>
      <c r="A848" s="29"/>
      <c r="B848" s="29"/>
      <c r="C848" s="32"/>
      <c r="D848" s="29"/>
      <c r="E848" s="29"/>
      <c r="F848" s="33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>
      <c r="A849" s="29"/>
      <c r="B849" s="29"/>
      <c r="C849" s="32"/>
      <c r="D849" s="29"/>
      <c r="E849" s="29"/>
      <c r="F849" s="33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>
      <c r="A850" s="29"/>
      <c r="B850" s="29"/>
      <c r="C850" s="32"/>
      <c r="D850" s="29"/>
      <c r="E850" s="29"/>
      <c r="F850" s="33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>
      <c r="A851" s="29"/>
      <c r="B851" s="29"/>
      <c r="C851" s="32"/>
      <c r="D851" s="29"/>
      <c r="E851" s="29"/>
      <c r="F851" s="33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>
      <c r="A852" s="29"/>
      <c r="B852" s="29"/>
      <c r="C852" s="32"/>
      <c r="D852" s="29"/>
      <c r="E852" s="29"/>
      <c r="F852" s="33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>
      <c r="A853" s="29"/>
      <c r="B853" s="29"/>
      <c r="C853" s="32"/>
      <c r="D853" s="29"/>
      <c r="E853" s="29"/>
      <c r="F853" s="33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>
      <c r="A854" s="29"/>
      <c r="B854" s="29"/>
      <c r="C854" s="32"/>
      <c r="D854" s="29"/>
      <c r="E854" s="29"/>
      <c r="F854" s="33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>
      <c r="A855" s="29"/>
      <c r="B855" s="29"/>
      <c r="C855" s="32"/>
      <c r="D855" s="29"/>
      <c r="E855" s="29"/>
      <c r="F855" s="33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>
      <c r="A856" s="29"/>
      <c r="B856" s="29"/>
      <c r="C856" s="32"/>
      <c r="D856" s="29"/>
      <c r="E856" s="29"/>
      <c r="F856" s="33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>
      <c r="A857" s="29"/>
      <c r="B857" s="29"/>
      <c r="C857" s="32"/>
      <c r="D857" s="29"/>
      <c r="E857" s="29"/>
      <c r="F857" s="33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>
      <c r="A858" s="29"/>
      <c r="B858" s="29"/>
      <c r="C858" s="32"/>
      <c r="D858" s="29"/>
      <c r="E858" s="29"/>
      <c r="F858" s="33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>
      <c r="A859" s="29"/>
      <c r="B859" s="29"/>
      <c r="C859" s="32"/>
      <c r="D859" s="29"/>
      <c r="E859" s="29"/>
      <c r="F859" s="33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>
      <c r="A860" s="29"/>
      <c r="B860" s="29"/>
      <c r="C860" s="32"/>
      <c r="D860" s="29"/>
      <c r="E860" s="29"/>
      <c r="F860" s="33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>
      <c r="A861" s="29"/>
      <c r="B861" s="29"/>
      <c r="C861" s="32"/>
      <c r="D861" s="29"/>
      <c r="E861" s="29"/>
      <c r="F861" s="33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>
      <c r="A862" s="29"/>
      <c r="B862" s="29"/>
      <c r="C862" s="32"/>
      <c r="D862" s="29"/>
      <c r="E862" s="29"/>
      <c r="F862" s="33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>
      <c r="A863" s="29"/>
      <c r="B863" s="29"/>
      <c r="C863" s="32"/>
      <c r="D863" s="29"/>
      <c r="E863" s="29"/>
      <c r="F863" s="33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>
      <c r="A864" s="29"/>
      <c r="B864" s="29"/>
      <c r="C864" s="32"/>
      <c r="D864" s="29"/>
      <c r="E864" s="29"/>
      <c r="F864" s="33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>
      <c r="A865" s="29"/>
      <c r="B865" s="29"/>
      <c r="C865" s="32"/>
      <c r="D865" s="29"/>
      <c r="E865" s="29"/>
      <c r="F865" s="33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>
      <c r="A866" s="29"/>
      <c r="B866" s="29"/>
      <c r="C866" s="32"/>
      <c r="D866" s="29"/>
      <c r="E866" s="29"/>
      <c r="F866" s="33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>
      <c r="A867" s="29"/>
      <c r="B867" s="29"/>
      <c r="C867" s="32"/>
      <c r="D867" s="29"/>
      <c r="E867" s="29"/>
      <c r="F867" s="33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>
      <c r="A868" s="29"/>
      <c r="B868" s="29"/>
      <c r="C868" s="32"/>
      <c r="D868" s="29"/>
      <c r="E868" s="29"/>
      <c r="F868" s="33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>
      <c r="A869" s="29"/>
      <c r="B869" s="29"/>
      <c r="C869" s="32"/>
      <c r="D869" s="29"/>
      <c r="E869" s="29"/>
      <c r="F869" s="33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>
      <c r="A870" s="29"/>
      <c r="B870" s="29"/>
      <c r="C870" s="32"/>
      <c r="D870" s="29"/>
      <c r="E870" s="29"/>
      <c r="F870" s="33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>
      <c r="A871" s="29"/>
      <c r="B871" s="29"/>
      <c r="C871" s="32"/>
      <c r="D871" s="29"/>
      <c r="E871" s="29"/>
      <c r="F871" s="33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>
      <c r="A872" s="29"/>
      <c r="B872" s="29"/>
      <c r="C872" s="32"/>
      <c r="D872" s="29"/>
      <c r="E872" s="29"/>
      <c r="F872" s="33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>
      <c r="A873" s="29"/>
      <c r="B873" s="29"/>
      <c r="C873" s="32"/>
      <c r="D873" s="29"/>
      <c r="E873" s="29"/>
      <c r="F873" s="33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>
      <c r="A874" s="29"/>
      <c r="B874" s="29"/>
      <c r="C874" s="32"/>
      <c r="D874" s="29"/>
      <c r="E874" s="29"/>
      <c r="F874" s="33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>
      <c r="A875" s="29"/>
      <c r="B875" s="29"/>
      <c r="C875" s="32"/>
      <c r="D875" s="29"/>
      <c r="E875" s="29"/>
      <c r="F875" s="33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>
      <c r="A876" s="29"/>
      <c r="B876" s="29"/>
      <c r="C876" s="32"/>
      <c r="D876" s="29"/>
      <c r="E876" s="29"/>
      <c r="F876" s="33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>
      <c r="A877" s="29"/>
      <c r="B877" s="29"/>
      <c r="C877" s="32"/>
      <c r="D877" s="29"/>
      <c r="E877" s="29"/>
      <c r="F877" s="33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>
      <c r="A878" s="29"/>
      <c r="B878" s="29"/>
      <c r="C878" s="32"/>
      <c r="D878" s="29"/>
      <c r="E878" s="29"/>
      <c r="F878" s="33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>
      <c r="A879" s="29"/>
      <c r="B879" s="29"/>
      <c r="C879" s="32"/>
      <c r="D879" s="29"/>
      <c r="E879" s="29"/>
      <c r="F879" s="33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>
      <c r="A880" s="29"/>
      <c r="B880" s="29"/>
      <c r="C880" s="32"/>
      <c r="D880" s="29"/>
      <c r="E880" s="29"/>
      <c r="F880" s="33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>
      <c r="A881" s="29"/>
      <c r="B881" s="29"/>
      <c r="C881" s="32"/>
      <c r="D881" s="29"/>
      <c r="E881" s="29"/>
      <c r="F881" s="33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>
      <c r="A882" s="29"/>
      <c r="B882" s="29"/>
      <c r="C882" s="32"/>
      <c r="D882" s="29"/>
      <c r="E882" s="29"/>
      <c r="F882" s="33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>
      <c r="A883" s="29"/>
      <c r="B883" s="29"/>
      <c r="C883" s="32"/>
      <c r="D883" s="29"/>
      <c r="E883" s="29"/>
      <c r="F883" s="33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>
      <c r="A884" s="29"/>
      <c r="B884" s="29"/>
      <c r="C884" s="32"/>
      <c r="D884" s="29"/>
      <c r="E884" s="29"/>
      <c r="F884" s="33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>
      <c r="A885" s="29"/>
      <c r="B885" s="29"/>
      <c r="C885" s="32"/>
      <c r="D885" s="29"/>
      <c r="E885" s="29"/>
      <c r="F885" s="33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>
      <c r="A886" s="29"/>
      <c r="B886" s="29"/>
      <c r="C886" s="32"/>
      <c r="D886" s="29"/>
      <c r="E886" s="29"/>
      <c r="F886" s="33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>
      <c r="A887" s="29"/>
      <c r="B887" s="29"/>
      <c r="C887" s="32"/>
      <c r="D887" s="29"/>
      <c r="E887" s="29"/>
      <c r="F887" s="33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>
      <c r="A888" s="29"/>
      <c r="B888" s="29"/>
      <c r="C888" s="32"/>
      <c r="D888" s="29"/>
      <c r="E888" s="29"/>
      <c r="F888" s="33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>
      <c r="A889" s="29"/>
      <c r="B889" s="29"/>
      <c r="C889" s="32"/>
      <c r="D889" s="29"/>
      <c r="E889" s="29"/>
      <c r="F889" s="33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>
      <c r="A890" s="29"/>
      <c r="B890" s="29"/>
      <c r="C890" s="32"/>
      <c r="D890" s="29"/>
      <c r="E890" s="29"/>
      <c r="F890" s="33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>
      <c r="A891" s="29"/>
      <c r="B891" s="29"/>
      <c r="C891" s="32"/>
      <c r="D891" s="29"/>
      <c r="E891" s="29"/>
      <c r="F891" s="33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>
      <c r="A892" s="29"/>
      <c r="B892" s="29"/>
      <c r="C892" s="32"/>
      <c r="D892" s="29"/>
      <c r="E892" s="29"/>
      <c r="F892" s="33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>
      <c r="A893" s="29"/>
      <c r="B893" s="29"/>
      <c r="C893" s="32"/>
      <c r="D893" s="29"/>
      <c r="E893" s="29"/>
      <c r="F893" s="33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>
      <c r="A894" s="29"/>
      <c r="B894" s="29"/>
      <c r="C894" s="32"/>
      <c r="D894" s="29"/>
      <c r="E894" s="29"/>
      <c r="F894" s="33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>
      <c r="A895" s="29"/>
      <c r="B895" s="29"/>
      <c r="C895" s="32"/>
      <c r="D895" s="29"/>
      <c r="E895" s="29"/>
      <c r="F895" s="33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>
      <c r="A896" s="29"/>
      <c r="B896" s="29"/>
      <c r="C896" s="32"/>
      <c r="D896" s="29"/>
      <c r="E896" s="29"/>
      <c r="F896" s="33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>
      <c r="A897" s="29"/>
      <c r="B897" s="29"/>
      <c r="C897" s="32"/>
      <c r="D897" s="29"/>
      <c r="E897" s="29"/>
      <c r="F897" s="33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>
      <c r="A898" s="29"/>
      <c r="B898" s="29"/>
      <c r="C898" s="32"/>
      <c r="D898" s="29"/>
      <c r="E898" s="29"/>
      <c r="F898" s="33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>
      <c r="A899" s="29"/>
      <c r="B899" s="29"/>
      <c r="C899" s="32"/>
      <c r="D899" s="29"/>
      <c r="E899" s="29"/>
      <c r="F899" s="33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>
      <c r="A900" s="29"/>
      <c r="B900" s="29"/>
      <c r="C900" s="32"/>
      <c r="D900" s="29"/>
      <c r="E900" s="29"/>
      <c r="F900" s="33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>
      <c r="A901" s="29"/>
      <c r="B901" s="29"/>
      <c r="C901" s="32"/>
      <c r="D901" s="29"/>
      <c r="E901" s="29"/>
      <c r="F901" s="33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>
      <c r="A902" s="29"/>
      <c r="B902" s="29"/>
      <c r="C902" s="32"/>
      <c r="D902" s="29"/>
      <c r="E902" s="29"/>
      <c r="F902" s="33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>
      <c r="A903" s="29"/>
      <c r="B903" s="29"/>
      <c r="C903" s="32"/>
      <c r="D903" s="29"/>
      <c r="E903" s="29"/>
      <c r="F903" s="33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>
      <c r="A904" s="29"/>
      <c r="B904" s="29"/>
      <c r="C904" s="32"/>
      <c r="D904" s="29"/>
      <c r="E904" s="29"/>
      <c r="F904" s="33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>
      <c r="A905" s="29"/>
      <c r="B905" s="29"/>
      <c r="C905" s="32"/>
      <c r="D905" s="29"/>
      <c r="E905" s="29"/>
      <c r="F905" s="33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>
      <c r="A906" s="29"/>
      <c r="B906" s="29"/>
      <c r="C906" s="32"/>
      <c r="D906" s="29"/>
      <c r="E906" s="29"/>
      <c r="F906" s="33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>
      <c r="A907" s="29"/>
      <c r="B907" s="29"/>
      <c r="C907" s="32"/>
      <c r="D907" s="29"/>
      <c r="E907" s="29"/>
      <c r="F907" s="33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>
      <c r="A908" s="29"/>
      <c r="B908" s="29"/>
      <c r="C908" s="32"/>
      <c r="D908" s="29"/>
      <c r="E908" s="29"/>
      <c r="F908" s="33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>
      <c r="A909" s="29"/>
      <c r="B909" s="29"/>
      <c r="C909" s="32"/>
      <c r="D909" s="29"/>
      <c r="E909" s="29"/>
      <c r="F909" s="33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>
      <c r="A910" s="29"/>
      <c r="B910" s="29"/>
      <c r="C910" s="32"/>
      <c r="D910" s="29"/>
      <c r="E910" s="29"/>
      <c r="F910" s="33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>
      <c r="A911" s="29"/>
      <c r="B911" s="29"/>
      <c r="C911" s="32"/>
      <c r="D911" s="29"/>
      <c r="E911" s="29"/>
      <c r="F911" s="33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>
      <c r="A912" s="29"/>
      <c r="B912" s="29"/>
      <c r="C912" s="32"/>
      <c r="D912" s="29"/>
      <c r="E912" s="29"/>
      <c r="F912" s="33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>
      <c r="A913" s="29"/>
      <c r="B913" s="29"/>
      <c r="C913" s="32"/>
      <c r="D913" s="29"/>
      <c r="E913" s="29"/>
      <c r="F913" s="33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>
      <c r="A914" s="29"/>
      <c r="B914" s="29"/>
      <c r="C914" s="32"/>
      <c r="D914" s="29"/>
      <c r="E914" s="29"/>
      <c r="F914" s="33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>
      <c r="A915" s="29"/>
      <c r="B915" s="29"/>
      <c r="C915" s="32"/>
      <c r="D915" s="29"/>
      <c r="E915" s="29"/>
      <c r="F915" s="33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>
      <c r="A916" s="29"/>
      <c r="B916" s="29"/>
      <c r="C916" s="32"/>
      <c r="D916" s="29"/>
      <c r="E916" s="29"/>
      <c r="F916" s="33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>
      <c r="A917" s="29"/>
      <c r="B917" s="29"/>
      <c r="C917" s="32"/>
      <c r="D917" s="29"/>
      <c r="E917" s="29"/>
      <c r="F917" s="33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>
      <c r="A918" s="29"/>
      <c r="B918" s="29"/>
      <c r="C918" s="32"/>
      <c r="D918" s="29"/>
      <c r="E918" s="29"/>
      <c r="F918" s="33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>
      <c r="A919" s="29"/>
      <c r="B919" s="29"/>
      <c r="C919" s="32"/>
      <c r="D919" s="29"/>
      <c r="E919" s="29"/>
      <c r="F919" s="33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>
      <c r="A920" s="29"/>
      <c r="B920" s="29"/>
      <c r="C920" s="32"/>
      <c r="D920" s="29"/>
      <c r="E920" s="29"/>
      <c r="F920" s="33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>
      <c r="A921" s="29"/>
      <c r="B921" s="29"/>
      <c r="C921" s="32"/>
      <c r="D921" s="29"/>
      <c r="E921" s="29"/>
      <c r="F921" s="33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>
      <c r="A922" s="29"/>
      <c r="B922" s="29"/>
      <c r="C922" s="32"/>
      <c r="D922" s="29"/>
      <c r="E922" s="29"/>
      <c r="F922" s="33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>
      <c r="A923" s="29"/>
      <c r="B923" s="29"/>
      <c r="C923" s="32"/>
      <c r="D923" s="29"/>
      <c r="E923" s="29"/>
      <c r="F923" s="33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>
      <c r="A924" s="29"/>
      <c r="B924" s="29"/>
      <c r="C924" s="32"/>
      <c r="D924" s="29"/>
      <c r="E924" s="29"/>
      <c r="F924" s="33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>
      <c r="A925" s="29"/>
      <c r="B925" s="29"/>
      <c r="C925" s="32"/>
      <c r="D925" s="29"/>
      <c r="E925" s="29"/>
      <c r="F925" s="33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>
      <c r="A926" s="29"/>
      <c r="B926" s="29"/>
      <c r="C926" s="32"/>
      <c r="D926" s="29"/>
      <c r="E926" s="29"/>
      <c r="F926" s="33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>
      <c r="A927" s="29"/>
      <c r="B927" s="29"/>
      <c r="C927" s="32"/>
      <c r="D927" s="29"/>
      <c r="E927" s="29"/>
      <c r="F927" s="33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>
      <c r="A928" s="29"/>
      <c r="B928" s="29"/>
      <c r="C928" s="32"/>
      <c r="D928" s="29"/>
      <c r="E928" s="29"/>
      <c r="F928" s="33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>
      <c r="A929" s="29"/>
      <c r="B929" s="29"/>
      <c r="C929" s="32"/>
      <c r="D929" s="29"/>
      <c r="E929" s="29"/>
      <c r="F929" s="33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>
      <c r="A930" s="29"/>
      <c r="B930" s="29"/>
      <c r="C930" s="32"/>
      <c r="D930" s="29"/>
      <c r="E930" s="29"/>
      <c r="F930" s="33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>
      <c r="A931" s="29"/>
      <c r="B931" s="29"/>
      <c r="C931" s="32"/>
      <c r="D931" s="29"/>
      <c r="E931" s="29"/>
      <c r="F931" s="33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>
      <c r="A932" s="29"/>
      <c r="B932" s="29"/>
      <c r="C932" s="32"/>
      <c r="D932" s="29"/>
      <c r="E932" s="29"/>
      <c r="F932" s="33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>
      <c r="A933" s="29"/>
      <c r="B933" s="29"/>
      <c r="C933" s="32"/>
      <c r="D933" s="29"/>
      <c r="E933" s="29"/>
      <c r="F933" s="33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>
      <c r="A934" s="29"/>
      <c r="B934" s="29"/>
      <c r="C934" s="32"/>
      <c r="D934" s="29"/>
      <c r="E934" s="29"/>
      <c r="F934" s="33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>
      <c r="A935" s="29"/>
      <c r="B935" s="29"/>
      <c r="C935" s="32"/>
      <c r="D935" s="29"/>
      <c r="E935" s="29"/>
      <c r="F935" s="33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>
      <c r="A936" s="29"/>
      <c r="B936" s="29"/>
      <c r="C936" s="32"/>
      <c r="D936" s="29"/>
      <c r="E936" s="29"/>
      <c r="F936" s="33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>
      <c r="A937" s="29"/>
      <c r="B937" s="29"/>
      <c r="C937" s="32"/>
      <c r="D937" s="29"/>
      <c r="E937" s="29"/>
      <c r="F937" s="33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>
      <c r="A938" s="29"/>
      <c r="B938" s="29"/>
      <c r="C938" s="32"/>
      <c r="D938" s="29"/>
      <c r="E938" s="29"/>
      <c r="F938" s="33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>
      <c r="A939" s="29"/>
      <c r="B939" s="29"/>
      <c r="C939" s="32"/>
      <c r="D939" s="29"/>
      <c r="E939" s="29"/>
      <c r="F939" s="33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>
      <c r="A940" s="29"/>
      <c r="B940" s="29"/>
      <c r="C940" s="32"/>
      <c r="D940" s="29"/>
      <c r="E940" s="29"/>
      <c r="F940" s="33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>
      <c r="A941" s="29"/>
      <c r="B941" s="29"/>
      <c r="C941" s="32"/>
      <c r="D941" s="29"/>
      <c r="E941" s="29"/>
      <c r="F941" s="33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>
      <c r="A942" s="29"/>
      <c r="B942" s="29"/>
      <c r="C942" s="32"/>
      <c r="D942" s="29"/>
      <c r="E942" s="29"/>
      <c r="F942" s="33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>
      <c r="A943" s="29"/>
      <c r="B943" s="29"/>
      <c r="C943" s="32"/>
      <c r="D943" s="29"/>
      <c r="E943" s="29"/>
      <c r="F943" s="33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>
      <c r="A944" s="29"/>
      <c r="B944" s="29"/>
      <c r="C944" s="32"/>
      <c r="D944" s="29"/>
      <c r="E944" s="29"/>
      <c r="F944" s="33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>
      <c r="A945" s="29"/>
      <c r="B945" s="29"/>
      <c r="C945" s="32"/>
      <c r="D945" s="29"/>
      <c r="E945" s="29"/>
      <c r="F945" s="33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>
      <c r="A946" s="29"/>
      <c r="B946" s="29"/>
      <c r="C946" s="32"/>
      <c r="D946" s="29"/>
      <c r="E946" s="29"/>
      <c r="F946" s="33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>
      <c r="A947" s="29"/>
      <c r="B947" s="29"/>
      <c r="C947" s="32"/>
      <c r="D947" s="29"/>
      <c r="E947" s="29"/>
      <c r="F947" s="33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>
      <c r="A948" s="29"/>
      <c r="B948" s="29"/>
      <c r="C948" s="32"/>
      <c r="D948" s="29"/>
      <c r="E948" s="29"/>
      <c r="F948" s="33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>
      <c r="A949" s="29"/>
      <c r="B949" s="29"/>
      <c r="C949" s="32"/>
      <c r="D949" s="29"/>
      <c r="E949" s="29"/>
      <c r="F949" s="33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>
      <c r="A950" s="29"/>
      <c r="B950" s="29"/>
      <c r="C950" s="32"/>
      <c r="D950" s="29"/>
      <c r="E950" s="29"/>
      <c r="F950" s="33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>
      <c r="A951" s="29"/>
      <c r="B951" s="29"/>
      <c r="C951" s="32"/>
      <c r="D951" s="29"/>
      <c r="E951" s="29"/>
      <c r="F951" s="33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>
      <c r="A952" s="29"/>
      <c r="B952" s="29"/>
      <c r="C952" s="32"/>
      <c r="D952" s="29"/>
      <c r="E952" s="29"/>
      <c r="F952" s="33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>
      <c r="A953" s="29"/>
      <c r="B953" s="29"/>
      <c r="C953" s="32"/>
      <c r="D953" s="29"/>
      <c r="E953" s="29"/>
      <c r="F953" s="33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>
      <c r="A954" s="29"/>
      <c r="B954" s="29"/>
      <c r="C954" s="32"/>
      <c r="D954" s="29"/>
      <c r="E954" s="29"/>
      <c r="F954" s="33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>
      <c r="A955" s="29"/>
      <c r="B955" s="29"/>
      <c r="C955" s="32"/>
      <c r="D955" s="29"/>
      <c r="E955" s="29"/>
      <c r="F955" s="33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>
      <c r="A956" s="29"/>
      <c r="B956" s="29"/>
      <c r="C956" s="32"/>
      <c r="D956" s="29"/>
      <c r="E956" s="29"/>
      <c r="F956" s="33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>
      <c r="A957" s="29"/>
      <c r="B957" s="29"/>
      <c r="C957" s="32"/>
      <c r="D957" s="29"/>
      <c r="E957" s="29"/>
      <c r="F957" s="33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>
      <c r="A958" s="29"/>
      <c r="B958" s="29"/>
      <c r="C958" s="32"/>
      <c r="D958" s="29"/>
      <c r="E958" s="29"/>
      <c r="F958" s="33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>
      <c r="A959" s="29"/>
      <c r="B959" s="29"/>
      <c r="C959" s="32"/>
      <c r="D959" s="29"/>
      <c r="E959" s="29"/>
      <c r="F959" s="33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>
      <c r="A960" s="29"/>
      <c r="B960" s="29"/>
      <c r="C960" s="32"/>
      <c r="D960" s="29"/>
      <c r="E960" s="29"/>
      <c r="F960" s="33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>
      <c r="A961" s="29"/>
      <c r="B961" s="29"/>
      <c r="C961" s="32"/>
      <c r="D961" s="29"/>
      <c r="E961" s="29"/>
      <c r="F961" s="33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>
      <c r="A962" s="29"/>
      <c r="B962" s="29"/>
      <c r="C962" s="32"/>
      <c r="D962" s="29"/>
      <c r="E962" s="29"/>
      <c r="F962" s="33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>
      <c r="A963" s="29"/>
      <c r="B963" s="29"/>
      <c r="C963" s="32"/>
      <c r="D963" s="29"/>
      <c r="E963" s="29"/>
      <c r="F963" s="33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>
      <c r="A964" s="29"/>
      <c r="B964" s="29"/>
      <c r="C964" s="32"/>
      <c r="D964" s="29"/>
      <c r="E964" s="29"/>
      <c r="F964" s="33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>
      <c r="A965" s="29"/>
      <c r="B965" s="29"/>
      <c r="C965" s="32"/>
      <c r="D965" s="29"/>
      <c r="E965" s="29"/>
      <c r="F965" s="33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>
      <c r="A966" s="29"/>
      <c r="B966" s="29"/>
      <c r="C966" s="32"/>
      <c r="D966" s="29"/>
      <c r="E966" s="29"/>
      <c r="F966" s="33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>
      <c r="A967" s="29"/>
      <c r="B967" s="29"/>
      <c r="C967" s="32"/>
      <c r="D967" s="29"/>
      <c r="E967" s="29"/>
      <c r="F967" s="33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>
      <c r="A968" s="29"/>
      <c r="B968" s="29"/>
      <c r="C968" s="32"/>
      <c r="D968" s="29"/>
      <c r="E968" s="29"/>
      <c r="F968" s="33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>
      <c r="A969" s="29"/>
      <c r="B969" s="29"/>
      <c r="C969" s="32"/>
      <c r="D969" s="29"/>
      <c r="E969" s="29"/>
      <c r="F969" s="33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>
      <c r="A970" s="29"/>
      <c r="B970" s="29"/>
      <c r="C970" s="32"/>
      <c r="D970" s="29"/>
      <c r="E970" s="29"/>
      <c r="F970" s="33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>
      <c r="A971" s="29"/>
      <c r="B971" s="29"/>
      <c r="C971" s="32"/>
      <c r="D971" s="29"/>
      <c r="E971" s="29"/>
      <c r="F971" s="33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>
      <c r="A972" s="29"/>
      <c r="B972" s="29"/>
      <c r="C972" s="32"/>
      <c r="D972" s="29"/>
      <c r="E972" s="29"/>
      <c r="F972" s="33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>
      <c r="A973" s="29"/>
      <c r="B973" s="29"/>
      <c r="C973" s="32"/>
      <c r="D973" s="29"/>
      <c r="E973" s="29"/>
      <c r="F973" s="33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>
      <c r="A974" s="29"/>
      <c r="B974" s="29"/>
      <c r="C974" s="32"/>
      <c r="D974" s="29"/>
      <c r="E974" s="29"/>
      <c r="F974" s="33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>
      <c r="A975" s="29"/>
      <c r="B975" s="29"/>
      <c r="C975" s="32"/>
      <c r="D975" s="29"/>
      <c r="E975" s="29"/>
      <c r="F975" s="33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>
      <c r="A976" s="29"/>
      <c r="B976" s="29"/>
      <c r="C976" s="32"/>
      <c r="D976" s="29"/>
      <c r="E976" s="29"/>
      <c r="F976" s="33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>
      <c r="A977" s="29"/>
      <c r="B977" s="29"/>
      <c r="C977" s="32"/>
      <c r="D977" s="29"/>
      <c r="E977" s="29"/>
      <c r="F977" s="33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>
      <c r="A978" s="29"/>
      <c r="B978" s="29"/>
      <c r="C978" s="32"/>
      <c r="D978" s="29"/>
      <c r="E978" s="29"/>
      <c r="F978" s="33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>
      <c r="A979" s="29"/>
      <c r="B979" s="29"/>
      <c r="C979" s="32"/>
      <c r="D979" s="29"/>
      <c r="E979" s="29"/>
      <c r="F979" s="33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>
      <c r="A980" s="29"/>
      <c r="B980" s="29"/>
      <c r="C980" s="32"/>
      <c r="D980" s="29"/>
      <c r="E980" s="29"/>
      <c r="F980" s="33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>
      <c r="A981" s="29"/>
      <c r="B981" s="29"/>
      <c r="C981" s="32"/>
      <c r="D981" s="29"/>
      <c r="E981" s="29"/>
      <c r="F981" s="33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>
      <c r="A982" s="29"/>
      <c r="B982" s="29"/>
      <c r="C982" s="32"/>
      <c r="D982" s="29"/>
      <c r="E982" s="29"/>
      <c r="F982" s="33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>
      <c r="A983" s="29"/>
      <c r="B983" s="29"/>
      <c r="C983" s="32"/>
      <c r="D983" s="29"/>
      <c r="E983" s="29"/>
      <c r="F983" s="33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>
      <c r="A984" s="29"/>
      <c r="B984" s="29"/>
      <c r="C984" s="32"/>
      <c r="D984" s="29"/>
      <c r="E984" s="29"/>
      <c r="F984" s="33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>
      <c r="A985" s="29"/>
      <c r="B985" s="29"/>
      <c r="C985" s="32"/>
      <c r="D985" s="29"/>
      <c r="E985" s="29"/>
      <c r="F985" s="33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>
      <c r="A986" s="29"/>
      <c r="B986" s="29"/>
      <c r="C986" s="32"/>
      <c r="D986" s="29"/>
      <c r="E986" s="29"/>
      <c r="F986" s="33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>
      <c r="A987" s="29"/>
      <c r="B987" s="29"/>
      <c r="C987" s="32"/>
      <c r="D987" s="29"/>
      <c r="E987" s="29"/>
      <c r="F987" s="33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>
      <c r="A988" s="29"/>
      <c r="B988" s="29"/>
      <c r="C988" s="32"/>
      <c r="D988" s="29"/>
      <c r="E988" s="29"/>
      <c r="F988" s="33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>
      <c r="A989" s="29"/>
      <c r="B989" s="29"/>
      <c r="C989" s="32"/>
      <c r="D989" s="29"/>
      <c r="E989" s="29"/>
      <c r="F989" s="33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>
      <c r="A990" s="29"/>
      <c r="B990" s="29"/>
      <c r="C990" s="32"/>
      <c r="D990" s="29"/>
      <c r="E990" s="29"/>
      <c r="F990" s="33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>
      <c r="A991" s="29"/>
      <c r="B991" s="29"/>
      <c r="C991" s="32"/>
      <c r="D991" s="29"/>
      <c r="E991" s="29"/>
      <c r="F991" s="33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>
      <c r="A992" s="29"/>
      <c r="B992" s="29"/>
      <c r="C992" s="32"/>
      <c r="D992" s="29"/>
      <c r="E992" s="29"/>
      <c r="F992" s="33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>
      <c r="A993" s="29"/>
      <c r="B993" s="29"/>
      <c r="C993" s="32"/>
      <c r="D993" s="29"/>
      <c r="E993" s="29"/>
      <c r="F993" s="33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>
      <c r="A994" s="29"/>
      <c r="B994" s="29"/>
      <c r="C994" s="32"/>
      <c r="D994" s="29"/>
      <c r="E994" s="29"/>
      <c r="F994" s="33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>
      <c r="A995" s="29"/>
      <c r="B995" s="29"/>
      <c r="C995" s="32"/>
      <c r="D995" s="29"/>
      <c r="E995" s="29"/>
      <c r="F995" s="33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>
      <c r="A996" s="29"/>
      <c r="B996" s="29"/>
      <c r="C996" s="32"/>
      <c r="D996" s="29"/>
      <c r="E996" s="29"/>
      <c r="F996" s="33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>
      <c r="A997" s="29"/>
      <c r="B997" s="29"/>
      <c r="C997" s="32"/>
      <c r="D997" s="29"/>
      <c r="E997" s="29"/>
      <c r="F997" s="33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>
      <c r="A998" s="29"/>
      <c r="B998" s="29"/>
      <c r="C998" s="32"/>
      <c r="D998" s="29"/>
      <c r="E998" s="29"/>
      <c r="F998" s="33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>
      <c r="A999" s="29"/>
      <c r="B999" s="29"/>
      <c r="C999" s="32"/>
      <c r="D999" s="29"/>
      <c r="E999" s="29"/>
      <c r="F999" s="33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>
      <c r="A1000" s="29"/>
      <c r="B1000" s="29"/>
      <c r="C1000" s="32"/>
      <c r="D1000" s="29"/>
      <c r="E1000" s="29"/>
      <c r="F1000" s="33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>
      <c r="A1001" s="29"/>
      <c r="B1001" s="29"/>
      <c r="C1001" s="32"/>
      <c r="D1001" s="29"/>
      <c r="E1001" s="29"/>
      <c r="F1001" s="33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</sheetData>
  <dataValidations>
    <dataValidation type="list" allowBlank="1" showErrorMessage="1" sqref="D2:D31">
      <formula1>"Fixed,Variable"</formula1>
    </dataValidation>
    <dataValidation type="list" allowBlank="1" showErrorMessage="1" sqref="E2:E31">
      <formula1>"Core,Discretionay"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18.63"/>
  </cols>
  <sheetData>
    <row r="1">
      <c r="A1" s="3" t="s">
        <v>99</v>
      </c>
      <c r="B1" s="8">
        <f>SUM('P&amp;L_Data'!B2:B25)</f>
        <v>3780000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100</v>
      </c>
      <c r="B2" s="8">
        <f>SUM('P&amp;L_Data'!C2:C25)</f>
        <v>2103524.08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 t="s">
        <v>101</v>
      </c>
      <c r="B3" s="8">
        <f>SUM('P&amp;L_Data'!D2:D25)</f>
        <v>2656800</v>
      </c>
      <c r="C3" s="36" t="s">
        <v>102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 t="s">
        <v>103</v>
      </c>
      <c r="B4" s="8">
        <f>SUM('P&amp;L_Data'!I2:I25)</f>
        <v>-980324.08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 t="s">
        <v>104</v>
      </c>
      <c r="B6" s="8">
        <f t="array" ref="B6">INDEX('P&amp;L_Data'!K2:K25,COUNTA('P&amp;L_Data'!A2:A25))</f>
        <v>-2251426.91</v>
      </c>
      <c r="C6" s="36" t="s">
        <v>105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 t="s">
        <v>106</v>
      </c>
      <c r="B8" s="8">
        <f>SUM('P&amp;L_Data'!E2:E25)</f>
        <v>7011750.99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 t="s">
        <v>107</v>
      </c>
      <c r="B9" s="8">
        <f>SUM('P&amp;L_Data'!F2:F25)</f>
        <v>4760324.08</v>
      </c>
      <c r="C9" s="36" t="s">
        <v>108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 t="s">
        <v>109</v>
      </c>
      <c r="B10" s="8">
        <f>SUM('P&amp;L_Data'!J2:J25)</f>
        <v>-2251426.91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 t="s">
        <v>110</v>
      </c>
      <c r="B12" s="8">
        <f>AVERAGE('P&amp;L_Data'!J2:J25)</f>
        <v>-93809.45458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 t="s">
        <v>111</v>
      </c>
      <c r="B13" s="8">
        <f>B6</f>
        <v>-2251426.91</v>
      </c>
      <c r="C13" s="36" t="s">
        <v>112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113</v>
      </c>
      <c r="B14" s="8">
        <f>IF(B12=0,0,B13/ABS(B12))</f>
        <v>-24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conditionalFormatting sqref="B14">
    <cfRule type="expression" dxfId="0" priority="1">
      <formula>"&lt;3"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25.38"/>
    <col customWidth="1" min="6" max="6" width="17.0"/>
  </cols>
  <sheetData>
    <row r="1">
      <c r="A1" s="37" t="s">
        <v>114</v>
      </c>
      <c r="B1" s="37" t="s">
        <v>115</v>
      </c>
      <c r="C1" s="37" t="s">
        <v>116</v>
      </c>
      <c r="D1" s="37" t="s">
        <v>117</v>
      </c>
      <c r="E1" s="37" t="s">
        <v>118</v>
      </c>
      <c r="F1" s="37" t="s">
        <v>119</v>
      </c>
      <c r="G1" s="37" t="s">
        <v>120</v>
      </c>
      <c r="H1" s="37" t="s">
        <v>121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9" t="s">
        <v>122</v>
      </c>
      <c r="B2" s="39" t="s">
        <v>123</v>
      </c>
      <c r="C2" s="39" t="s">
        <v>124</v>
      </c>
      <c r="D2" s="39" t="s">
        <v>125</v>
      </c>
      <c r="E2" s="39" t="s">
        <v>126</v>
      </c>
      <c r="F2" s="7" t="s">
        <v>127</v>
      </c>
      <c r="G2" s="39" t="s">
        <v>128</v>
      </c>
      <c r="H2" s="39" t="s">
        <v>129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9" t="s">
        <v>122</v>
      </c>
      <c r="B3" s="39" t="s">
        <v>123</v>
      </c>
      <c r="C3" s="39" t="s">
        <v>130</v>
      </c>
      <c r="D3" s="39" t="s">
        <v>131</v>
      </c>
      <c r="E3" s="39" t="s">
        <v>132</v>
      </c>
      <c r="F3" s="7" t="s">
        <v>133</v>
      </c>
      <c r="G3" s="39" t="s">
        <v>134</v>
      </c>
      <c r="H3" s="39" t="s">
        <v>129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9" t="s">
        <v>122</v>
      </c>
      <c r="B4" s="39" t="s">
        <v>135</v>
      </c>
      <c r="C4" s="39" t="s">
        <v>136</v>
      </c>
      <c r="D4" s="39" t="s">
        <v>137</v>
      </c>
      <c r="E4" s="39" t="s">
        <v>132</v>
      </c>
      <c r="F4" s="7" t="s">
        <v>138</v>
      </c>
      <c r="G4" s="39" t="s">
        <v>134</v>
      </c>
      <c r="H4" s="39" t="s">
        <v>129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9" t="s">
        <v>139</v>
      </c>
      <c r="B5" s="39" t="s">
        <v>140</v>
      </c>
      <c r="C5" s="39" t="s">
        <v>141</v>
      </c>
      <c r="D5" s="39" t="s">
        <v>142</v>
      </c>
      <c r="E5" s="39" t="s">
        <v>143</v>
      </c>
      <c r="F5" s="7" t="s">
        <v>144</v>
      </c>
      <c r="G5" s="39" t="s">
        <v>128</v>
      </c>
      <c r="H5" s="39" t="s">
        <v>129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9" t="s">
        <v>139</v>
      </c>
      <c r="B6" s="39" t="s">
        <v>140</v>
      </c>
      <c r="C6" s="39" t="s">
        <v>145</v>
      </c>
      <c r="D6" s="39" t="s">
        <v>146</v>
      </c>
      <c r="E6" s="39" t="s">
        <v>126</v>
      </c>
      <c r="F6" s="7" t="s">
        <v>147</v>
      </c>
      <c r="G6" s="39" t="s">
        <v>128</v>
      </c>
      <c r="H6" s="39" t="s">
        <v>129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9" t="s">
        <v>139</v>
      </c>
      <c r="B7" s="39" t="s">
        <v>140</v>
      </c>
      <c r="C7" s="39" t="s">
        <v>148</v>
      </c>
      <c r="D7" s="39" t="s">
        <v>149</v>
      </c>
      <c r="E7" s="39" t="s">
        <v>132</v>
      </c>
      <c r="F7" s="7" t="s">
        <v>150</v>
      </c>
      <c r="G7" s="39" t="s">
        <v>134</v>
      </c>
      <c r="H7" s="39" t="s">
        <v>129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9" t="s">
        <v>122</v>
      </c>
      <c r="B8" s="39" t="s">
        <v>123</v>
      </c>
      <c r="C8" s="39" t="s">
        <v>151</v>
      </c>
      <c r="D8" s="39" t="s">
        <v>152</v>
      </c>
      <c r="E8" s="39" t="s">
        <v>132</v>
      </c>
      <c r="F8" s="40">
        <v>45660.0</v>
      </c>
      <c r="G8" s="39" t="s">
        <v>153</v>
      </c>
      <c r="H8" s="39" t="s">
        <v>129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9" t="s">
        <v>139</v>
      </c>
      <c r="B9" s="39" t="s">
        <v>140</v>
      </c>
      <c r="C9" s="39" t="s">
        <v>154</v>
      </c>
      <c r="D9" s="39" t="s">
        <v>155</v>
      </c>
      <c r="E9" s="39" t="s">
        <v>132</v>
      </c>
      <c r="F9" s="7" t="s">
        <v>156</v>
      </c>
      <c r="G9" s="39" t="s">
        <v>134</v>
      </c>
      <c r="H9" s="39" t="s">
        <v>129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6" t="s">
        <v>122</v>
      </c>
      <c r="B10" s="26" t="s">
        <v>123</v>
      </c>
      <c r="C10" s="26" t="s">
        <v>157</v>
      </c>
      <c r="D10" s="26" t="s">
        <v>158</v>
      </c>
      <c r="E10" s="26" t="s">
        <v>132</v>
      </c>
      <c r="F10" s="41" t="s">
        <v>159</v>
      </c>
      <c r="G10" s="39" t="s">
        <v>134</v>
      </c>
      <c r="H10" s="39" t="s">
        <v>129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6" t="s">
        <v>122</v>
      </c>
      <c r="B11" s="26" t="s">
        <v>123</v>
      </c>
      <c r="C11" s="26" t="s">
        <v>160</v>
      </c>
      <c r="D11" s="26" t="s">
        <v>161</v>
      </c>
      <c r="E11" s="26" t="s">
        <v>132</v>
      </c>
      <c r="F11" s="41" t="s">
        <v>159</v>
      </c>
      <c r="G11" s="26" t="s">
        <v>128</v>
      </c>
      <c r="H11" s="26" t="s">
        <v>129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6" t="s">
        <v>122</v>
      </c>
      <c r="B12" s="26" t="s">
        <v>123</v>
      </c>
      <c r="C12" s="26" t="s">
        <v>162</v>
      </c>
      <c r="D12" s="26" t="s">
        <v>163</v>
      </c>
      <c r="E12" s="26" t="s">
        <v>132</v>
      </c>
      <c r="F12" s="41" t="s">
        <v>159</v>
      </c>
      <c r="G12" s="26" t="s">
        <v>134</v>
      </c>
      <c r="H12" s="26" t="s">
        <v>164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6" t="s">
        <v>122</v>
      </c>
      <c r="B13" s="26" t="s">
        <v>123</v>
      </c>
      <c r="C13" s="26" t="s">
        <v>165</v>
      </c>
      <c r="D13" s="26" t="s">
        <v>166</v>
      </c>
      <c r="E13" s="26" t="s">
        <v>132</v>
      </c>
      <c r="F13" s="41" t="s">
        <v>167</v>
      </c>
      <c r="G13" s="26" t="s">
        <v>128</v>
      </c>
      <c r="H13" s="26" t="s">
        <v>164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6" t="s">
        <v>122</v>
      </c>
      <c r="B14" s="26" t="s">
        <v>123</v>
      </c>
      <c r="C14" s="26" t="s">
        <v>168</v>
      </c>
      <c r="D14" s="26" t="s">
        <v>169</v>
      </c>
      <c r="E14" s="26" t="s">
        <v>132</v>
      </c>
      <c r="F14" s="42">
        <v>45660.0</v>
      </c>
      <c r="G14" s="26" t="s">
        <v>128</v>
      </c>
      <c r="H14" s="26" t="s">
        <v>129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6" t="s">
        <v>122</v>
      </c>
      <c r="B15" s="26" t="s">
        <v>123</v>
      </c>
      <c r="C15" s="26" t="s">
        <v>170</v>
      </c>
      <c r="D15" s="26" t="s">
        <v>171</v>
      </c>
      <c r="E15" s="26" t="s">
        <v>132</v>
      </c>
      <c r="F15" s="41" t="s">
        <v>172</v>
      </c>
      <c r="G15" s="26" t="s">
        <v>153</v>
      </c>
      <c r="H15" s="26" t="s">
        <v>129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6" t="s">
        <v>122</v>
      </c>
      <c r="B16" s="26" t="s">
        <v>123</v>
      </c>
      <c r="C16" s="26" t="s">
        <v>173</v>
      </c>
      <c r="D16" s="26" t="s">
        <v>174</v>
      </c>
      <c r="E16" s="26" t="s">
        <v>132</v>
      </c>
      <c r="F16" s="41" t="s">
        <v>159</v>
      </c>
      <c r="G16" s="26" t="s">
        <v>128</v>
      </c>
      <c r="H16" s="26" t="s">
        <v>164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6" t="s">
        <v>122</v>
      </c>
      <c r="B17" s="26" t="s">
        <v>123</v>
      </c>
      <c r="C17" s="26" t="s">
        <v>175</v>
      </c>
      <c r="D17" s="26" t="s">
        <v>176</v>
      </c>
      <c r="E17" s="26" t="s">
        <v>143</v>
      </c>
      <c r="F17" s="41" t="s">
        <v>177</v>
      </c>
      <c r="G17" s="26" t="s">
        <v>128</v>
      </c>
      <c r="H17" s="26" t="s">
        <v>164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6" t="s">
        <v>122</v>
      </c>
      <c r="B18" s="26" t="s">
        <v>135</v>
      </c>
      <c r="C18" s="26" t="s">
        <v>178</v>
      </c>
      <c r="D18" s="26" t="s">
        <v>179</v>
      </c>
      <c r="E18" s="26" t="s">
        <v>132</v>
      </c>
      <c r="F18" s="41" t="s">
        <v>138</v>
      </c>
      <c r="G18" s="26" t="s">
        <v>134</v>
      </c>
      <c r="H18" s="26" t="s">
        <v>129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6" t="s">
        <v>122</v>
      </c>
      <c r="B19" s="26" t="s">
        <v>135</v>
      </c>
      <c r="C19" s="26" t="s">
        <v>180</v>
      </c>
      <c r="D19" s="26" t="s">
        <v>181</v>
      </c>
      <c r="E19" s="26" t="s">
        <v>132</v>
      </c>
      <c r="F19" s="41" t="s">
        <v>172</v>
      </c>
      <c r="G19" s="26" t="s">
        <v>153</v>
      </c>
      <c r="H19" s="26" t="s">
        <v>129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6" t="s">
        <v>122</v>
      </c>
      <c r="B20" s="26" t="s">
        <v>135</v>
      </c>
      <c r="C20" s="26" t="s">
        <v>182</v>
      </c>
      <c r="D20" s="26" t="s">
        <v>183</v>
      </c>
      <c r="E20" s="26" t="s">
        <v>132</v>
      </c>
      <c r="F20" s="41" t="s">
        <v>138</v>
      </c>
      <c r="G20" s="26" t="s">
        <v>128</v>
      </c>
      <c r="H20" s="26" t="s">
        <v>164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6" t="s">
        <v>122</v>
      </c>
      <c r="B21" s="26" t="s">
        <v>135</v>
      </c>
      <c r="C21" s="26" t="s">
        <v>184</v>
      </c>
      <c r="D21" s="26" t="s">
        <v>185</v>
      </c>
      <c r="E21" s="26" t="s">
        <v>132</v>
      </c>
      <c r="F21" s="41" t="s">
        <v>133</v>
      </c>
      <c r="G21" s="26" t="s">
        <v>128</v>
      </c>
      <c r="H21" s="26" t="s">
        <v>164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6" t="s">
        <v>139</v>
      </c>
      <c r="B22" s="26" t="s">
        <v>140</v>
      </c>
      <c r="C22" s="26" t="s">
        <v>186</v>
      </c>
      <c r="D22" s="26" t="s">
        <v>187</v>
      </c>
      <c r="E22" s="26" t="s">
        <v>143</v>
      </c>
      <c r="F22" s="42">
        <v>45731.0</v>
      </c>
      <c r="G22" s="26" t="s">
        <v>134</v>
      </c>
      <c r="H22" s="26" t="s">
        <v>164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6" t="s">
        <v>139</v>
      </c>
      <c r="B23" s="26" t="s">
        <v>140</v>
      </c>
      <c r="C23" s="26" t="s">
        <v>188</v>
      </c>
      <c r="D23" s="26" t="s">
        <v>189</v>
      </c>
      <c r="E23" s="26" t="s">
        <v>143</v>
      </c>
      <c r="F23" s="42">
        <v>45731.0</v>
      </c>
      <c r="G23" s="26" t="s">
        <v>128</v>
      </c>
      <c r="H23" s="26" t="s">
        <v>164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6" t="s">
        <v>139</v>
      </c>
      <c r="B24" s="26" t="s">
        <v>140</v>
      </c>
      <c r="C24" s="26" t="s">
        <v>190</v>
      </c>
      <c r="D24" s="26" t="s">
        <v>191</v>
      </c>
      <c r="E24" s="26" t="s">
        <v>143</v>
      </c>
      <c r="F24" s="42">
        <v>45746.0</v>
      </c>
      <c r="G24" s="26" t="s">
        <v>153</v>
      </c>
      <c r="H24" s="26" t="s">
        <v>129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6" t="s">
        <v>139</v>
      </c>
      <c r="B25" s="26" t="s">
        <v>140</v>
      </c>
      <c r="C25" s="26" t="s">
        <v>192</v>
      </c>
      <c r="D25" s="26" t="s">
        <v>193</v>
      </c>
      <c r="E25" s="26" t="s">
        <v>132</v>
      </c>
      <c r="F25" s="43">
        <v>46022.0</v>
      </c>
      <c r="G25" s="26" t="s">
        <v>128</v>
      </c>
      <c r="H25" s="26" t="s">
        <v>129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6" t="s">
        <v>139</v>
      </c>
      <c r="B26" s="26" t="s">
        <v>140</v>
      </c>
      <c r="C26" s="26" t="s">
        <v>194</v>
      </c>
      <c r="D26" s="26" t="s">
        <v>195</v>
      </c>
      <c r="E26" s="26" t="s">
        <v>132</v>
      </c>
      <c r="F26" s="43">
        <v>46022.0</v>
      </c>
      <c r="G26" s="26" t="s">
        <v>134</v>
      </c>
      <c r="H26" s="26" t="s">
        <v>196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6" t="s">
        <v>139</v>
      </c>
      <c r="B27" s="26" t="s">
        <v>140</v>
      </c>
      <c r="C27" s="26" t="s">
        <v>197</v>
      </c>
      <c r="D27" s="26" t="s">
        <v>198</v>
      </c>
      <c r="E27" s="26" t="s">
        <v>126</v>
      </c>
      <c r="F27" s="42">
        <v>45792.0</v>
      </c>
      <c r="G27" s="26" t="s">
        <v>128</v>
      </c>
      <c r="H27" s="26" t="s">
        <v>129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6" t="s">
        <v>139</v>
      </c>
      <c r="B28" s="26" t="s">
        <v>140</v>
      </c>
      <c r="C28" s="26" t="s">
        <v>199</v>
      </c>
      <c r="D28" s="26" t="s">
        <v>200</v>
      </c>
      <c r="E28" s="26" t="s">
        <v>132</v>
      </c>
      <c r="F28" s="42">
        <v>45930.0</v>
      </c>
      <c r="G28" s="26" t="s">
        <v>128</v>
      </c>
      <c r="H28" s="26" t="s">
        <v>129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6" t="s">
        <v>139</v>
      </c>
      <c r="B29" s="26" t="s">
        <v>140</v>
      </c>
      <c r="C29" s="26" t="s">
        <v>201</v>
      </c>
      <c r="D29" s="26" t="s">
        <v>202</v>
      </c>
      <c r="E29" s="26" t="s">
        <v>132</v>
      </c>
      <c r="F29" s="43">
        <v>45961.0</v>
      </c>
      <c r="G29" s="26" t="s">
        <v>134</v>
      </c>
      <c r="H29" s="26" t="s">
        <v>164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6" t="s">
        <v>139</v>
      </c>
      <c r="B30" s="26" t="s">
        <v>140</v>
      </c>
      <c r="C30" s="26" t="s">
        <v>203</v>
      </c>
      <c r="D30" s="26" t="s">
        <v>204</v>
      </c>
      <c r="E30" s="26" t="s">
        <v>132</v>
      </c>
      <c r="F30" s="42">
        <v>45853.0</v>
      </c>
      <c r="G30" s="26" t="s">
        <v>128</v>
      </c>
      <c r="H30" s="26" t="s">
        <v>164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6" t="s">
        <v>139</v>
      </c>
      <c r="B31" s="26" t="s">
        <v>140</v>
      </c>
      <c r="C31" s="26" t="s">
        <v>205</v>
      </c>
      <c r="D31" s="26" t="s">
        <v>206</v>
      </c>
      <c r="E31" s="26" t="s">
        <v>132</v>
      </c>
      <c r="F31" s="42">
        <v>45838.0</v>
      </c>
      <c r="G31" s="26" t="s">
        <v>153</v>
      </c>
      <c r="H31" s="26" t="s">
        <v>164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6" t="s">
        <v>139</v>
      </c>
      <c r="B32" s="26" t="s">
        <v>140</v>
      </c>
      <c r="C32" s="26" t="s">
        <v>207</v>
      </c>
      <c r="D32" s="26" t="s">
        <v>208</v>
      </c>
      <c r="E32" s="26" t="s">
        <v>209</v>
      </c>
      <c r="F32" s="41" t="s">
        <v>133</v>
      </c>
      <c r="G32" s="26" t="s">
        <v>128</v>
      </c>
      <c r="H32" s="26" t="s">
        <v>164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6" t="s">
        <v>139</v>
      </c>
      <c r="B33" s="26" t="s">
        <v>140</v>
      </c>
      <c r="C33" s="26" t="s">
        <v>210</v>
      </c>
      <c r="D33" s="26" t="s">
        <v>211</v>
      </c>
      <c r="E33" s="26" t="s">
        <v>126</v>
      </c>
      <c r="F33" s="42">
        <v>45762.0</v>
      </c>
      <c r="G33" s="26" t="s">
        <v>153</v>
      </c>
      <c r="H33" s="26" t="s">
        <v>164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6" t="s">
        <v>139</v>
      </c>
      <c r="B34" s="26" t="s">
        <v>140</v>
      </c>
      <c r="C34" s="26" t="s">
        <v>212</v>
      </c>
      <c r="D34" s="26" t="s">
        <v>213</v>
      </c>
      <c r="E34" s="26" t="s">
        <v>214</v>
      </c>
      <c r="F34" s="42">
        <v>45762.0</v>
      </c>
      <c r="G34" s="26" t="s">
        <v>128</v>
      </c>
      <c r="H34" s="26" t="s">
        <v>196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6" t="s">
        <v>122</v>
      </c>
      <c r="B35" s="26" t="s">
        <v>135</v>
      </c>
      <c r="C35" s="26" t="s">
        <v>178</v>
      </c>
      <c r="D35" s="26" t="s">
        <v>179</v>
      </c>
      <c r="E35" s="26" t="s">
        <v>132</v>
      </c>
      <c r="F35" s="41" t="s">
        <v>138</v>
      </c>
      <c r="G35" s="26" t="s">
        <v>134</v>
      </c>
      <c r="H35" s="26" t="s">
        <v>129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6" t="s">
        <v>122</v>
      </c>
      <c r="B36" s="26" t="s">
        <v>135</v>
      </c>
      <c r="C36" s="26" t="s">
        <v>180</v>
      </c>
      <c r="D36" s="26" t="s">
        <v>181</v>
      </c>
      <c r="E36" s="26" t="s">
        <v>132</v>
      </c>
      <c r="F36" s="41" t="s">
        <v>172</v>
      </c>
      <c r="G36" s="26" t="s">
        <v>153</v>
      </c>
      <c r="H36" s="26" t="s">
        <v>129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6" t="s">
        <v>122</v>
      </c>
      <c r="B37" s="26" t="s">
        <v>135</v>
      </c>
      <c r="C37" s="26" t="s">
        <v>182</v>
      </c>
      <c r="D37" s="26" t="s">
        <v>183</v>
      </c>
      <c r="E37" s="26" t="s">
        <v>132</v>
      </c>
      <c r="F37" s="41" t="s">
        <v>138</v>
      </c>
      <c r="G37" s="26" t="s">
        <v>128</v>
      </c>
      <c r="H37" s="26" t="s">
        <v>164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6" t="s">
        <v>122</v>
      </c>
      <c r="B38" s="26" t="s">
        <v>135</v>
      </c>
      <c r="C38" s="26" t="s">
        <v>184</v>
      </c>
      <c r="D38" s="26" t="s">
        <v>185</v>
      </c>
      <c r="E38" s="26" t="s">
        <v>132</v>
      </c>
      <c r="F38" s="41" t="s">
        <v>133</v>
      </c>
      <c r="G38" s="26" t="s">
        <v>128</v>
      </c>
      <c r="H38" s="26" t="s">
        <v>164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6" t="s">
        <v>139</v>
      </c>
      <c r="B39" s="26" t="s">
        <v>140</v>
      </c>
      <c r="C39" s="26" t="s">
        <v>186</v>
      </c>
      <c r="D39" s="26" t="s">
        <v>187</v>
      </c>
      <c r="E39" s="26" t="s">
        <v>143</v>
      </c>
      <c r="F39" s="42">
        <v>45731.0</v>
      </c>
      <c r="G39" s="26" t="s">
        <v>134</v>
      </c>
      <c r="H39" s="26" t="s">
        <v>164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6" t="s">
        <v>139</v>
      </c>
      <c r="B40" s="26" t="s">
        <v>140</v>
      </c>
      <c r="C40" s="26" t="s">
        <v>188</v>
      </c>
      <c r="D40" s="26" t="s">
        <v>189</v>
      </c>
      <c r="E40" s="26" t="s">
        <v>143</v>
      </c>
      <c r="F40" s="42">
        <v>45731.0</v>
      </c>
      <c r="G40" s="26" t="s">
        <v>128</v>
      </c>
      <c r="H40" s="26" t="s">
        <v>164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6"/>
      <c r="B41" s="26"/>
      <c r="C41" s="26"/>
      <c r="D41" s="26"/>
      <c r="E41" s="26"/>
      <c r="F41" s="42"/>
      <c r="G41" s="26"/>
      <c r="H41" s="26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6"/>
      <c r="B42" s="26"/>
      <c r="C42" s="26"/>
      <c r="D42" s="26"/>
      <c r="E42" s="26"/>
      <c r="F42" s="43"/>
      <c r="G42" s="26"/>
      <c r="H42" s="26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44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44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44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44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44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44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44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44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44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44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44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44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44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44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44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44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44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44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44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44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44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44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44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44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44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44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44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44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44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44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44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44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44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44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44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44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44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44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44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44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44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44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44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44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44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44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44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44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44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44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44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44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44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44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44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44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44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44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44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44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44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44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44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44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44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44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44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44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44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44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44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44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44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44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44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44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44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44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44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44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44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44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44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44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44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44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44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44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44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44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44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44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44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44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44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44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44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44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44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44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44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44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44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44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44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44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44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44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44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44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44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44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44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44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44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44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44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44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44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44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44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44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44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44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44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44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44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44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44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44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44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44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44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44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44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44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44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44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44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44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44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44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44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44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44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44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44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44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44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44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44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44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44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44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44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44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44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44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44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44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44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44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44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44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44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44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44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44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44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44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44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44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44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44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44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44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44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44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44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44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44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44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44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44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44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44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44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44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44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44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44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44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44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44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44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44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44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44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44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44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44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44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44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44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44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44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44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44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44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44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44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44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44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44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44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44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44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44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44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44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44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44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44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44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44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44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44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44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44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44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44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44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44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44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44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44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44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44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44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44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44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44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44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44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44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44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44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44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44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44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44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44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44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44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44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44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44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44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44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44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44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44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44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44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44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44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44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44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44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44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44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44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44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44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44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44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44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44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44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44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44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44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44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44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44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44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44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44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44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44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44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44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44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44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44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44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44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44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44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44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44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44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44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44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44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44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44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44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44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44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44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44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44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44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44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44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44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44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44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44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44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44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44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44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44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44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44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44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44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44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44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44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44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44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44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44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44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44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44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44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44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44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44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44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44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44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44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44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44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44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44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44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44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44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44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44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44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44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44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44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44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44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44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44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44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44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44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44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44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44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44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44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44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44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44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44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44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44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44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44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44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44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44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44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44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44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44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44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44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44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44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44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44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44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44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44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44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44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44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44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44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44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44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44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44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44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44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44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44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44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44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44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44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44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44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44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44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44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44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44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44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44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44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44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44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44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44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44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44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44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44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44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44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44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44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44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44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44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44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44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44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44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44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44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44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44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44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44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44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44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44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44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44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44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44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44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44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44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44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44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44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44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44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44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44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44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44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44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44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44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44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44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44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44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44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44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44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44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44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44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44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44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44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44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44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44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44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44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44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44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44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44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44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44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44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44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44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44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44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44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44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44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44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44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44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44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44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44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44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44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44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44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44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44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44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44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44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44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44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44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44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44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44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44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44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44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44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44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44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44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44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44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44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44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44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44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44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44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44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44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44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44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44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44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44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44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44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44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44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44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44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44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44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44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44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44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44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44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44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44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44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44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44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44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44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44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44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44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44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44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44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44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44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44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44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44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44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44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44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44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44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44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44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44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44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44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44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44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44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44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44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44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44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44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44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44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44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44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44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44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44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44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44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44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44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44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44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44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44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44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44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44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44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44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44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44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44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44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44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44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44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44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44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44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44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44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44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44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44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44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44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44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44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44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44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44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44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44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44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44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44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44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44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44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44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44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44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44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44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44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44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44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44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44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44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44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44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44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44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44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44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44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44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44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44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44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44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44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44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44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44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44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44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44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44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44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44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44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44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44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44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44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44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44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44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44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44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44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44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44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44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44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44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44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44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44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44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44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44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44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44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44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44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44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44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44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44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44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44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44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44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44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44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44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44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44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44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44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44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44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44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44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44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44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44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44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44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44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44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44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44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44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44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44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44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44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44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44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44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44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44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44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44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44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44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44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44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44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44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44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44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44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44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44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44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44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44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44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44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44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44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44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44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44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44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44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44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44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44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44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44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44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44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44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44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44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44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44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44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44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44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44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44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44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44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44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44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44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44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44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44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44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44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44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44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44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44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44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44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44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44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44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44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44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44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44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44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44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44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44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44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44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44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44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44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44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44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44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44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44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44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44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44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44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44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44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44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44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44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44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44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44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44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44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44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44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44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44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44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44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44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44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44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44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44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44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44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44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44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44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44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44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44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44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44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44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44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44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44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44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44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44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44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44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44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44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44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44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44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44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44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44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44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44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44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44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44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44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44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44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44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44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44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44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44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44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44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44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44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44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44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44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44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44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44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44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44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44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44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44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44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44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44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44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44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44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44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44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44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44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44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44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44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44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44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44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44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44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44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44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44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44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44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44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44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44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44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44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44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44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44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44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44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44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44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44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44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44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44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44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44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44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44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44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44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44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44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44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44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44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44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44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44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44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44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44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44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44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conditionalFormatting sqref="H2:H52">
    <cfRule type="expression" dxfId="1" priority="1">
      <formula>"Upcoming"</formula>
    </cfRule>
  </conditionalFormatting>
  <conditionalFormatting sqref="H2:H52">
    <cfRule type="expression" dxfId="2" priority="2">
      <formula>"Due Soon"</formula>
    </cfRule>
  </conditionalFormatting>
  <conditionalFormatting sqref="H2:H52">
    <cfRule type="expression" dxfId="0" priority="3">
      <formula>"Missed"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3" max="3" width="14.63"/>
    <col customWidth="1" min="4" max="4" width="13.25"/>
    <col customWidth="1" min="5" max="5" width="14.75"/>
    <col customWidth="1" min="6" max="6" width="13.63"/>
    <col customWidth="1" min="7" max="7" width="15.38"/>
    <col customWidth="1" min="8" max="8" width="23.13"/>
    <col customWidth="1" min="16" max="16" width="26.75"/>
    <col customWidth="1" min="17" max="17" width="14.63"/>
  </cols>
  <sheetData>
    <row r="1">
      <c r="A1" s="12" t="s">
        <v>215</v>
      </c>
      <c r="B1" s="12">
        <v>5.0E8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2" t="s">
        <v>216</v>
      </c>
      <c r="B2" s="45">
        <v>0.01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2" t="s">
        <v>217</v>
      </c>
      <c r="B3" s="46">
        <v>0.0075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12" t="s">
        <v>218</v>
      </c>
      <c r="B4" s="12" t="s">
        <v>219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2" t="s">
        <v>118</v>
      </c>
      <c r="B5" s="12" t="s">
        <v>126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2" t="s">
        <v>220</v>
      </c>
      <c r="B6" s="45">
        <v>1.0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2" t="s">
        <v>221</v>
      </c>
      <c r="B7" s="46">
        <v>0.045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2" t="s">
        <v>222</v>
      </c>
      <c r="B8" s="45">
        <v>0.08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2" t="s">
        <v>223</v>
      </c>
      <c r="B9" s="45">
        <v>0.2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12" t="s">
        <v>224</v>
      </c>
      <c r="B10" s="45">
        <v>0.8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36" t="s">
        <v>225</v>
      </c>
      <c r="B11" s="8"/>
      <c r="C11" s="8"/>
      <c r="D11" s="8"/>
      <c r="E11" s="8"/>
      <c r="F11" s="8"/>
      <c r="G11" s="8"/>
      <c r="H11" s="8"/>
      <c r="I11" s="36"/>
      <c r="J11" s="36" t="s">
        <v>226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3" t="s">
        <v>227</v>
      </c>
      <c r="B12" s="3" t="s">
        <v>228</v>
      </c>
      <c r="C12" s="3" t="s">
        <v>229</v>
      </c>
      <c r="D12" s="4"/>
      <c r="E12" s="3" t="s">
        <v>230</v>
      </c>
      <c r="F12" s="3" t="s">
        <v>231</v>
      </c>
      <c r="G12" s="3" t="s">
        <v>232</v>
      </c>
      <c r="H12" s="3" t="s">
        <v>233</v>
      </c>
      <c r="I12" s="3"/>
      <c r="J12" s="3" t="s">
        <v>227</v>
      </c>
      <c r="K12" s="3" t="s">
        <v>234</v>
      </c>
      <c r="L12" s="3" t="s">
        <v>235</v>
      </c>
      <c r="M12" s="3" t="s">
        <v>236</v>
      </c>
      <c r="N12" s="4"/>
      <c r="O12" s="4"/>
      <c r="P12" s="3" t="s">
        <v>22</v>
      </c>
      <c r="Q12" s="3" t="s">
        <v>237</v>
      </c>
      <c r="R12" s="4"/>
      <c r="S12" s="3" t="s">
        <v>229</v>
      </c>
      <c r="T12" s="3" t="s">
        <v>238</v>
      </c>
      <c r="U12" s="4"/>
      <c r="V12" s="4"/>
      <c r="W12" s="4"/>
      <c r="X12" s="4"/>
      <c r="Y12" s="4"/>
      <c r="Z12" s="4"/>
      <c r="AA12" s="4"/>
    </row>
    <row r="13">
      <c r="A13" s="12">
        <v>1.0</v>
      </c>
      <c r="B13" s="8">
        <f t="shared" ref="B13:B14" si="1">250000000</f>
        <v>250000000</v>
      </c>
      <c r="C13" s="47">
        <v>43831.0</v>
      </c>
      <c r="D13" s="8"/>
      <c r="E13" s="8">
        <f t="shared" ref="E13:E14" si="2">$B$1*$B$3/4</f>
        <v>937500</v>
      </c>
      <c r="F13" s="8">
        <f t="shared" ref="F13:F14" si="3">IF(A13&lt;=2,E13*$B$6,0)</f>
        <v>937500</v>
      </c>
      <c r="G13" s="8">
        <f t="shared" ref="G13:G14" si="4">F13*$B$7</f>
        <v>42187.5</v>
      </c>
      <c r="H13" s="8">
        <f t="shared" ref="H13:H14" si="5">E13+G13</f>
        <v>979687.5</v>
      </c>
      <c r="I13" s="8"/>
      <c r="J13" s="12">
        <v>1.0</v>
      </c>
      <c r="K13" s="46">
        <v>0.1275</v>
      </c>
      <c r="L13" s="8">
        <f>B13</f>
        <v>250000000</v>
      </c>
      <c r="M13" s="8">
        <f t="shared" ref="M13:M14" si="6">L13*(1+K13)</f>
        <v>281875000</v>
      </c>
      <c r="N13" s="8"/>
      <c r="O13" s="8"/>
      <c r="P13" s="12" t="s">
        <v>239</v>
      </c>
      <c r="Q13" s="8">
        <f>SUM(B13:B14)</f>
        <v>500000000</v>
      </c>
      <c r="R13" s="8"/>
      <c r="S13" s="48">
        <v>43831.0</v>
      </c>
      <c r="T13" s="12">
        <v>-2.5E8</v>
      </c>
      <c r="U13" s="8"/>
      <c r="V13" s="8"/>
      <c r="W13" s="8"/>
      <c r="X13" s="8"/>
      <c r="Y13" s="8"/>
      <c r="Z13" s="8"/>
      <c r="AA13" s="8"/>
    </row>
    <row r="14">
      <c r="A14" s="12">
        <v>2.0</v>
      </c>
      <c r="B14" s="8">
        <f t="shared" si="1"/>
        <v>250000000</v>
      </c>
      <c r="C14" s="47">
        <v>44197.0</v>
      </c>
      <c r="D14" s="8"/>
      <c r="E14" s="8">
        <f t="shared" si="2"/>
        <v>937500</v>
      </c>
      <c r="F14" s="8">
        <f t="shared" si="3"/>
        <v>937500</v>
      </c>
      <c r="G14" s="8">
        <f t="shared" si="4"/>
        <v>42187.5</v>
      </c>
      <c r="H14" s="8">
        <f t="shared" si="5"/>
        <v>979687.5</v>
      </c>
      <c r="I14" s="8"/>
      <c r="J14" s="12">
        <v>2.0</v>
      </c>
      <c r="K14" s="46">
        <v>-0.0263</v>
      </c>
      <c r="L14" s="8">
        <f t="shared" ref="L14:L18" si="7">M13</f>
        <v>281875000</v>
      </c>
      <c r="M14" s="8">
        <f t="shared" si="6"/>
        <v>274461687.5</v>
      </c>
      <c r="N14" s="8"/>
      <c r="O14" s="8"/>
      <c r="P14" s="12" t="s">
        <v>240</v>
      </c>
      <c r="Q14" s="8">
        <f>M17</f>
        <v>302406302.1</v>
      </c>
      <c r="R14" s="8"/>
      <c r="S14" s="48">
        <v>44197.0</v>
      </c>
      <c r="T14" s="12">
        <v>-2.5E8</v>
      </c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12">
        <v>3.0</v>
      </c>
      <c r="K15" s="46">
        <v>0.2087</v>
      </c>
      <c r="L15" s="8">
        <f t="shared" si="7"/>
        <v>274461687.5</v>
      </c>
      <c r="M15" s="8">
        <f>(L15*(1+K15))-100000000</f>
        <v>231741841.7</v>
      </c>
      <c r="N15" s="8"/>
      <c r="O15" s="8"/>
      <c r="P15" s="12" t="s">
        <v>241</v>
      </c>
      <c r="Q15" s="8">
        <f>MIN(Q14,Q13)</f>
        <v>302406302.1</v>
      </c>
      <c r="R15" s="8"/>
      <c r="S15" s="48">
        <v>44562.0</v>
      </c>
      <c r="T15" s="12">
        <v>0.0</v>
      </c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12">
        <v>4.0</v>
      </c>
      <c r="K16" s="46">
        <v>0.0975</v>
      </c>
      <c r="L16" s="8">
        <f t="shared" si="7"/>
        <v>231741841.7</v>
      </c>
      <c r="M16" s="8">
        <f t="shared" ref="M16:M17" si="8">L16*(1+K16)</f>
        <v>254336671.2</v>
      </c>
      <c r="N16" s="8"/>
      <c r="O16" s="8"/>
      <c r="P16" s="12" t="s">
        <v>242</v>
      </c>
      <c r="Q16" s="8">
        <f>Q14-Q15</f>
        <v>0</v>
      </c>
      <c r="R16" s="8"/>
      <c r="S16" s="48">
        <v>44927.0</v>
      </c>
      <c r="T16" s="12">
        <v>0.0</v>
      </c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12">
        <v>5.0</v>
      </c>
      <c r="K17" s="46">
        <v>0.189</v>
      </c>
      <c r="L17" s="8">
        <f t="shared" si="7"/>
        <v>254336671.2</v>
      </c>
      <c r="M17" s="8">
        <f t="shared" si="8"/>
        <v>302406302.1</v>
      </c>
      <c r="N17" s="8"/>
      <c r="O17" s="8"/>
      <c r="P17" s="12" t="s">
        <v>243</v>
      </c>
      <c r="Q17" s="8">
        <f>Q13*$B$8*5</f>
        <v>200000000</v>
      </c>
      <c r="R17" s="8"/>
      <c r="S17" s="48">
        <v>45292.0</v>
      </c>
      <c r="T17" s="12">
        <v>0.0</v>
      </c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>
        <f t="shared" si="7"/>
        <v>302406302.1</v>
      </c>
      <c r="M18" s="8"/>
      <c r="N18" s="8"/>
      <c r="O18" s="8"/>
      <c r="P18" s="12" t="s">
        <v>244</v>
      </c>
      <c r="Q18" s="8">
        <f>MIN(Q16,Q17)</f>
        <v>0</v>
      </c>
      <c r="R18" s="8"/>
      <c r="S18" s="48">
        <v>45657.0</v>
      </c>
      <c r="T18" s="8">
        <f>M17</f>
        <v>302406302.1</v>
      </c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2" t="s">
        <v>245</v>
      </c>
      <c r="Q19" s="8">
        <f>Q16-Q18</f>
        <v>0</v>
      </c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2" t="s">
        <v>246</v>
      </c>
      <c r="Q20" s="8">
        <f>Q19*$B$9</f>
        <v>0</v>
      </c>
      <c r="R20" s="8"/>
      <c r="S20" s="8" t="b">
        <f>IFERROR(__xludf.DUMMYFUNCTION("ISDATE(S18)"),TRUE)</f>
        <v>1</v>
      </c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2" t="s">
        <v>247</v>
      </c>
      <c r="Q21" s="8">
        <f>Q19*$B$10</f>
        <v>0</v>
      </c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2" t="s">
        <v>248</v>
      </c>
      <c r="Q25" s="8">
        <f>(Q15+Q21)/Q13</f>
        <v>0.6048126042</v>
      </c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2" t="s">
        <v>249</v>
      </c>
      <c r="Q26" s="8">
        <f>(Q14)/Q13</f>
        <v>0.6048126042</v>
      </c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2" t="s">
        <v>250</v>
      </c>
      <c r="Q27" s="8">
        <f>Q14/Q13</f>
        <v>0.6048126042</v>
      </c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2" t="s">
        <v>251</v>
      </c>
      <c r="Q28" s="49">
        <f>XIRR(T13:T18,S13:S18)</f>
        <v>-0.1060074991</v>
      </c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36" t="s">
        <v>252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3" t="s">
        <v>253</v>
      </c>
      <c r="Q40" s="8">
        <f>IFERROR(COVAR(C51:C1876,E51:E1876)/VAR(E51:E1876), " ")</f>
        <v>0.0004036571768</v>
      </c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3" t="s">
        <v>254</v>
      </c>
      <c r="Q41" s="8">
        <f>PERCENTILE(C51:C1876,0.05)</f>
        <v>-0.00007205479452</v>
      </c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3" t="s">
        <v>255</v>
      </c>
      <c r="Q42" s="8">
        <f>(AVERAGE(C51:C1876)-AVERAGE(G51:G1876))/STDEV(C51:C1876)</f>
        <v>0.7729642132</v>
      </c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3" t="s">
        <v>256</v>
      </c>
      <c r="B49" s="3" t="s">
        <v>257</v>
      </c>
      <c r="C49" s="3" t="s">
        <v>258</v>
      </c>
      <c r="D49" s="3" t="s">
        <v>259</v>
      </c>
      <c r="E49" s="3" t="s">
        <v>260</v>
      </c>
      <c r="F49" s="50" t="s">
        <v>261</v>
      </c>
      <c r="G49" s="3" t="s">
        <v>262</v>
      </c>
      <c r="H49" s="51" t="s">
        <v>263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2">
        <v>43831.0</v>
      </c>
      <c r="B50" s="8">
        <f>L13</f>
        <v>250000000</v>
      </c>
      <c r="C50" s="12" t="str">
        <f> " "</f>
        <v> </v>
      </c>
      <c r="D50" s="8">
        <v>3265.35</v>
      </c>
      <c r="E50" s="8">
        <f t="shared" ref="E50:E59" si="9">IF(D50=0, "", D51/D50 - 1)
</f>
        <v>0</v>
      </c>
      <c r="F50" s="53">
        <v>0.100593781</v>
      </c>
      <c r="G50" s="8">
        <f t="shared" ref="G50:G62" si="10">IF(F50="", "", F50/100/365)</f>
        <v>0.000002755994</v>
      </c>
      <c r="H50" s="8">
        <f t="shared" ref="H50:H1876" si="11">IFERROR(VALUE(D50),"")
</f>
        <v>3265.35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54">
        <f t="shared" ref="A51:A1876" si="12">A50+1</f>
        <v>43832</v>
      </c>
      <c r="B51" s="8">
        <f t="shared" ref="B51:B1876" si="13">B50* (1+IF(YEAR(A51)=2020,0.1275/365,IF(YEAR(A51)=2021,-0.0263/365,IF(YEAR(A51)=2022,0.2087/365,IF(YEAR(A51)=2023,0.975/365,0.189/365)))))</f>
        <v>250087328.8</v>
      </c>
      <c r="C51" s="8">
        <f t="shared" ref="C51:C1876" si="14">B51/B50-1</f>
        <v>0.0003493150685</v>
      </c>
      <c r="D51" s="8">
        <v>3265.35</v>
      </c>
      <c r="E51" s="8">
        <f t="shared" si="9"/>
        <v>0</v>
      </c>
      <c r="F51" s="53">
        <v>0.100678871</v>
      </c>
      <c r="G51" s="8">
        <f t="shared" si="10"/>
        <v>0.000002758325233</v>
      </c>
      <c r="H51" s="8">
        <f t="shared" si="11"/>
        <v>3265.35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54">
        <f t="shared" si="12"/>
        <v>43833</v>
      </c>
      <c r="B52" s="8">
        <f t="shared" si="13"/>
        <v>250174688</v>
      </c>
      <c r="C52" s="8">
        <f t="shared" si="14"/>
        <v>0.0003493150685</v>
      </c>
      <c r="D52" s="8">
        <v>3265.35</v>
      </c>
      <c r="E52" s="8">
        <f t="shared" si="9"/>
        <v>0</v>
      </c>
      <c r="F52" s="53">
        <v>0.084710082</v>
      </c>
      <c r="G52" s="8">
        <f t="shared" si="10"/>
        <v>0.000002320824164</v>
      </c>
      <c r="H52" s="8">
        <f t="shared" si="11"/>
        <v>3265.35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54">
        <f t="shared" si="12"/>
        <v>43834</v>
      </c>
      <c r="B53" s="8">
        <f t="shared" si="13"/>
        <v>250262077.8</v>
      </c>
      <c r="C53" s="8">
        <f t="shared" si="14"/>
        <v>0.0003493150685</v>
      </c>
      <c r="D53" s="8">
        <v>3265.35</v>
      </c>
      <c r="E53" s="8">
        <f t="shared" si="9"/>
        <v>0</v>
      </c>
      <c r="F53" s="53">
        <v>0.114079907</v>
      </c>
      <c r="G53" s="8">
        <f t="shared" si="10"/>
        <v>0.000003125476904</v>
      </c>
      <c r="H53" s="8">
        <f t="shared" si="11"/>
        <v>3265.35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54">
        <f t="shared" si="12"/>
        <v>43835</v>
      </c>
      <c r="B54" s="8">
        <f t="shared" si="13"/>
        <v>250349498.1</v>
      </c>
      <c r="C54" s="8">
        <f t="shared" si="14"/>
        <v>0.0003493150685</v>
      </c>
      <c r="D54" s="8">
        <v>3265.35</v>
      </c>
      <c r="E54" s="8">
        <f t="shared" si="9"/>
        <v>0</v>
      </c>
      <c r="F54" s="53">
        <v>0.10322464</v>
      </c>
      <c r="G54" s="8">
        <f t="shared" si="10"/>
        <v>0.000002828072329</v>
      </c>
      <c r="H54" s="8">
        <f t="shared" si="11"/>
        <v>3265.35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54">
        <f t="shared" si="12"/>
        <v>43836</v>
      </c>
      <c r="B55" s="8">
        <f t="shared" si="13"/>
        <v>250436949</v>
      </c>
      <c r="C55" s="8">
        <f t="shared" si="14"/>
        <v>0.0003493150685</v>
      </c>
      <c r="D55" s="8">
        <v>3265.35</v>
      </c>
      <c r="E55" s="8">
        <f t="shared" si="9"/>
        <v>0</v>
      </c>
      <c r="F55" s="53">
        <v>0.112432114</v>
      </c>
      <c r="G55" s="8">
        <f t="shared" si="10"/>
        <v>0.00000308033189</v>
      </c>
      <c r="H55" s="8">
        <f t="shared" si="11"/>
        <v>3265.35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54">
        <f t="shared" si="12"/>
        <v>43837</v>
      </c>
      <c r="B56" s="8">
        <f t="shared" si="13"/>
        <v>250524430.4</v>
      </c>
      <c r="C56" s="8">
        <f t="shared" si="14"/>
        <v>0.0003493150685</v>
      </c>
      <c r="D56" s="8">
        <v>3265.35</v>
      </c>
      <c r="E56" s="8">
        <f t="shared" si="9"/>
        <v>0</v>
      </c>
      <c r="F56" s="53">
        <v>0.106976559</v>
      </c>
      <c r="G56" s="8">
        <f t="shared" si="10"/>
        <v>0.00000293086463</v>
      </c>
      <c r="H56" s="8">
        <f t="shared" si="11"/>
        <v>3265.35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54">
        <f t="shared" si="12"/>
        <v>43838</v>
      </c>
      <c r="B57" s="8">
        <f t="shared" si="13"/>
        <v>250611942.4</v>
      </c>
      <c r="C57" s="8">
        <f t="shared" si="14"/>
        <v>0.0003493150685</v>
      </c>
      <c r="D57" s="8">
        <v>3265.35</v>
      </c>
      <c r="E57" s="8">
        <f t="shared" si="9"/>
        <v>0</v>
      </c>
      <c r="F57" s="53">
        <v>0.088062578</v>
      </c>
      <c r="G57" s="8">
        <f t="shared" si="10"/>
        <v>0.00000241267337</v>
      </c>
      <c r="H57" s="8">
        <f t="shared" si="11"/>
        <v>3265.35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54">
        <f t="shared" si="12"/>
        <v>43839</v>
      </c>
      <c r="B58" s="8">
        <f t="shared" si="13"/>
        <v>250699484.9</v>
      </c>
      <c r="C58" s="8">
        <f t="shared" si="14"/>
        <v>0.0003493150685</v>
      </c>
      <c r="D58" s="8">
        <v>3265.35</v>
      </c>
      <c r="E58" s="8">
        <f t="shared" si="9"/>
        <v>0</v>
      </c>
      <c r="F58" s="53">
        <v>0.10370584</v>
      </c>
      <c r="G58" s="8">
        <f t="shared" si="10"/>
        <v>0.00000284125589</v>
      </c>
      <c r="H58" s="8">
        <f t="shared" si="11"/>
        <v>3265.35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54">
        <f t="shared" si="12"/>
        <v>43840</v>
      </c>
      <c r="B59" s="8">
        <f t="shared" si="13"/>
        <v>250787058</v>
      </c>
      <c r="C59" s="8">
        <f t="shared" si="14"/>
        <v>0.0003493150685</v>
      </c>
      <c r="D59" s="8">
        <v>3265.35</v>
      </c>
      <c r="E59" s="8">
        <f t="shared" si="9"/>
        <v>0</v>
      </c>
      <c r="F59" s="53">
        <v>0.11085975</v>
      </c>
      <c r="G59" s="8">
        <f t="shared" si="10"/>
        <v>0.000003037253425</v>
      </c>
      <c r="H59" s="8">
        <f t="shared" si="11"/>
        <v>3265.35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54">
        <f t="shared" si="12"/>
        <v>43841</v>
      </c>
      <c r="B60" s="8">
        <f t="shared" si="13"/>
        <v>250874661.7</v>
      </c>
      <c r="C60" s="8">
        <f t="shared" si="14"/>
        <v>0.0003493150685</v>
      </c>
      <c r="D60" s="8">
        <v>3265.35</v>
      </c>
      <c r="E60" s="8">
        <f t="shared" ref="E60:E69" si="15">IF(OR(D60="", D59="", D59=0), "", D60/D59 - 1)
</f>
        <v>0</v>
      </c>
      <c r="F60" s="53">
        <v>0.103780956</v>
      </c>
      <c r="G60" s="8">
        <f t="shared" si="10"/>
        <v>0.000002843313863</v>
      </c>
      <c r="H60" s="8">
        <f t="shared" si="11"/>
        <v>3265.35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54">
        <f t="shared" si="12"/>
        <v>43842</v>
      </c>
      <c r="B61" s="8">
        <f t="shared" si="13"/>
        <v>250962296</v>
      </c>
      <c r="C61" s="8">
        <f t="shared" si="14"/>
        <v>0.0003493150685</v>
      </c>
      <c r="D61" s="8">
        <v>3288.13</v>
      </c>
      <c r="E61" s="8">
        <f t="shared" si="15"/>
        <v>0.006976281256</v>
      </c>
      <c r="F61" s="53">
        <v>0.098235936</v>
      </c>
      <c r="G61" s="8">
        <f t="shared" si="10"/>
        <v>0.000002691395507</v>
      </c>
      <c r="H61" s="8">
        <f t="shared" si="11"/>
        <v>3288.13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54">
        <f t="shared" si="12"/>
        <v>43843</v>
      </c>
      <c r="B62" s="8">
        <f t="shared" si="13"/>
        <v>251049960.9</v>
      </c>
      <c r="C62" s="8">
        <f t="shared" si="14"/>
        <v>0.0003493150685</v>
      </c>
      <c r="D62" s="8">
        <v>3288.13</v>
      </c>
      <c r="E62" s="8">
        <f t="shared" si="15"/>
        <v>0</v>
      </c>
      <c r="F62" s="53">
        <v>0.107504429</v>
      </c>
      <c r="G62" s="8">
        <f t="shared" si="10"/>
        <v>0.000002945326822</v>
      </c>
      <c r="H62" s="8">
        <f t="shared" si="11"/>
        <v>3288.13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54">
        <f t="shared" si="12"/>
        <v>43844</v>
      </c>
      <c r="B63" s="8">
        <f t="shared" si="13"/>
        <v>251137656.4</v>
      </c>
      <c r="C63" s="8">
        <f t="shared" si="14"/>
        <v>0.0003493150685</v>
      </c>
      <c r="D63" s="8">
        <v>3283.15</v>
      </c>
      <c r="E63" s="8">
        <f t="shared" si="15"/>
        <v>-0.001514538659</v>
      </c>
      <c r="F63" s="53">
        <v>0.105295644</v>
      </c>
      <c r="G63" s="8">
        <f t="shared" ref="G63:G1876" si="16">F63/100/365</f>
        <v>0.000002884812164</v>
      </c>
      <c r="H63" s="8">
        <f t="shared" si="11"/>
        <v>3283.15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54">
        <f t="shared" si="12"/>
        <v>43845</v>
      </c>
      <c r="B64" s="8">
        <f t="shared" si="13"/>
        <v>251225382.6</v>
      </c>
      <c r="C64" s="8">
        <f t="shared" si="14"/>
        <v>0.0003493150685</v>
      </c>
      <c r="D64" s="8">
        <v>3289.29</v>
      </c>
      <c r="E64" s="8">
        <f t="shared" si="15"/>
        <v>0.001870155186</v>
      </c>
      <c r="F64" s="53">
        <v>0.077622538</v>
      </c>
      <c r="G64" s="8">
        <f t="shared" si="16"/>
        <v>0.000002126644877</v>
      </c>
      <c r="H64" s="8">
        <f t="shared" si="11"/>
        <v>3289.29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54">
        <f t="shared" si="12"/>
        <v>43846</v>
      </c>
      <c r="B65" s="8">
        <f t="shared" si="13"/>
        <v>251313139.4</v>
      </c>
      <c r="C65" s="8">
        <f t="shared" si="14"/>
        <v>0.0003493150685</v>
      </c>
      <c r="D65" s="8">
        <v>3316.81</v>
      </c>
      <c r="E65" s="8">
        <f t="shared" si="15"/>
        <v>0.008366547188</v>
      </c>
      <c r="F65" s="53">
        <v>0.095467702</v>
      </c>
      <c r="G65" s="8">
        <f t="shared" si="16"/>
        <v>0.000002615553479</v>
      </c>
      <c r="H65" s="8">
        <f t="shared" si="11"/>
        <v>3316.81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54">
        <f t="shared" si="12"/>
        <v>43847</v>
      </c>
      <c r="B66" s="8">
        <f t="shared" si="13"/>
        <v>251400926.9</v>
      </c>
      <c r="C66" s="8">
        <f t="shared" si="14"/>
        <v>0.0003493150685</v>
      </c>
      <c r="D66" s="8">
        <v>3329.62</v>
      </c>
      <c r="E66" s="8">
        <f t="shared" si="15"/>
        <v>0.003862144651</v>
      </c>
      <c r="F66" s="53">
        <v>0.11806192</v>
      </c>
      <c r="G66" s="8">
        <f t="shared" si="16"/>
        <v>0.000003234573151</v>
      </c>
      <c r="H66" s="8">
        <f t="shared" si="11"/>
        <v>3329.62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54">
        <f t="shared" si="12"/>
        <v>43848</v>
      </c>
      <c r="B67" s="8">
        <f t="shared" si="13"/>
        <v>251488745</v>
      </c>
      <c r="C67" s="8">
        <f t="shared" si="14"/>
        <v>0.0003493150685</v>
      </c>
      <c r="D67" s="8">
        <v>3329.62</v>
      </c>
      <c r="E67" s="8">
        <f t="shared" si="15"/>
        <v>0</v>
      </c>
      <c r="F67" s="53">
        <v>0.082755178</v>
      </c>
      <c r="G67" s="8">
        <f t="shared" si="16"/>
        <v>0.000002267265151</v>
      </c>
      <c r="H67" s="8">
        <f t="shared" si="11"/>
        <v>3329.62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54">
        <f t="shared" si="12"/>
        <v>43849</v>
      </c>
      <c r="B68" s="8">
        <f t="shared" si="13"/>
        <v>251576593.8</v>
      </c>
      <c r="C68" s="8">
        <f t="shared" si="14"/>
        <v>0.0003493150685</v>
      </c>
      <c r="D68" s="8">
        <v>3329.62</v>
      </c>
      <c r="E68" s="8">
        <f t="shared" si="15"/>
        <v>0</v>
      </c>
      <c r="F68" s="53">
        <v>0.107392179</v>
      </c>
      <c r="G68" s="8">
        <f t="shared" si="16"/>
        <v>0.000002942251479</v>
      </c>
      <c r="H68" s="8">
        <f t="shared" si="11"/>
        <v>3329.62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54">
        <f t="shared" si="12"/>
        <v>43850</v>
      </c>
      <c r="B69" s="8">
        <f t="shared" si="13"/>
        <v>251664473.3</v>
      </c>
      <c r="C69" s="8">
        <f t="shared" si="14"/>
        <v>0.0003493150685</v>
      </c>
      <c r="D69" s="8">
        <v>3329.62</v>
      </c>
      <c r="E69" s="8">
        <f t="shared" si="15"/>
        <v>0</v>
      </c>
      <c r="F69" s="53">
        <v>0.107177274</v>
      </c>
      <c r="G69" s="8">
        <f t="shared" si="16"/>
        <v>0.000002936363671</v>
      </c>
      <c r="H69" s="8">
        <f t="shared" si="11"/>
        <v>3329.62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54">
        <f t="shared" si="12"/>
        <v>43851</v>
      </c>
      <c r="B70" s="8">
        <f t="shared" si="13"/>
        <v>251752383.5</v>
      </c>
      <c r="C70" s="8">
        <f t="shared" si="14"/>
        <v>0.0003493150685</v>
      </c>
      <c r="D70" s="8">
        <v>3320.79</v>
      </c>
      <c r="E70" s="8">
        <f t="shared" ref="E70:E1876" si="17">D70/D69-1</f>
        <v>-0.002651954277</v>
      </c>
      <c r="F70" s="53">
        <v>0.105532597</v>
      </c>
      <c r="G70" s="8">
        <f t="shared" si="16"/>
        <v>0.000002891304027</v>
      </c>
      <c r="H70" s="8">
        <f t="shared" si="11"/>
        <v>3320.79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54">
        <f t="shared" si="12"/>
        <v>43852</v>
      </c>
      <c r="B71" s="8">
        <f t="shared" si="13"/>
        <v>251840324.4</v>
      </c>
      <c r="C71" s="8">
        <f t="shared" si="14"/>
        <v>0.0003493150685</v>
      </c>
      <c r="D71" s="8">
        <v>3321.75</v>
      </c>
      <c r="E71" s="8">
        <f t="shared" si="17"/>
        <v>0.0002890878375</v>
      </c>
      <c r="F71" s="53">
        <v>0.080411955</v>
      </c>
      <c r="G71" s="8">
        <f t="shared" si="16"/>
        <v>0.00000220306726</v>
      </c>
      <c r="H71" s="8">
        <f t="shared" si="11"/>
        <v>3321.75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54">
        <f t="shared" si="12"/>
        <v>43853</v>
      </c>
      <c r="B72" s="8">
        <f t="shared" si="13"/>
        <v>251928296</v>
      </c>
      <c r="C72" s="8">
        <f t="shared" si="14"/>
        <v>0.0003493150685</v>
      </c>
      <c r="D72" s="8">
        <v>3325.54</v>
      </c>
      <c r="E72" s="8">
        <f t="shared" si="17"/>
        <v>0.001140964853</v>
      </c>
      <c r="F72" s="53">
        <v>0.091206675</v>
      </c>
      <c r="G72" s="8">
        <f t="shared" si="16"/>
        <v>0.000002498813014</v>
      </c>
      <c r="H72" s="8">
        <f t="shared" si="11"/>
        <v>3325.54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54">
        <f t="shared" si="12"/>
        <v>43854</v>
      </c>
      <c r="B73" s="8">
        <f t="shared" si="13"/>
        <v>252016298.4</v>
      </c>
      <c r="C73" s="8">
        <f t="shared" si="14"/>
        <v>0.0003493150685</v>
      </c>
      <c r="D73" s="8">
        <v>3295.47</v>
      </c>
      <c r="E73" s="8">
        <f t="shared" si="17"/>
        <v>-0.009042140525</v>
      </c>
      <c r="F73" s="53">
        <v>0.109590046</v>
      </c>
      <c r="G73" s="8">
        <f t="shared" si="16"/>
        <v>0.000003002467014</v>
      </c>
      <c r="H73" s="8">
        <f t="shared" si="11"/>
        <v>3295.47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54">
        <f t="shared" si="12"/>
        <v>43855</v>
      </c>
      <c r="B74" s="8">
        <f t="shared" si="13"/>
        <v>252104331.5</v>
      </c>
      <c r="C74" s="8">
        <f t="shared" si="14"/>
        <v>0.0003493150685</v>
      </c>
      <c r="D74" s="8">
        <v>3295.47</v>
      </c>
      <c r="E74" s="8">
        <f t="shared" si="17"/>
        <v>0</v>
      </c>
      <c r="F74" s="53">
        <v>0.103347733</v>
      </c>
      <c r="G74" s="8">
        <f t="shared" si="16"/>
        <v>0.00000283144474</v>
      </c>
      <c r="H74" s="8">
        <f t="shared" si="11"/>
        <v>3295.47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54">
        <f t="shared" si="12"/>
        <v>43856</v>
      </c>
      <c r="B75" s="8">
        <f t="shared" si="13"/>
        <v>252192395.3</v>
      </c>
      <c r="C75" s="8">
        <f t="shared" si="14"/>
        <v>0.0003493150685</v>
      </c>
      <c r="D75" s="8">
        <v>3295.47</v>
      </c>
      <c r="E75" s="8">
        <f t="shared" si="17"/>
        <v>0</v>
      </c>
      <c r="F75" s="53">
        <v>0.101167094</v>
      </c>
      <c r="G75" s="8">
        <f t="shared" si="16"/>
        <v>0.000002771701205</v>
      </c>
      <c r="H75" s="8">
        <f t="shared" si="11"/>
        <v>3295.47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54">
        <f t="shared" si="12"/>
        <v>43857</v>
      </c>
      <c r="B76" s="8">
        <f t="shared" si="13"/>
        <v>252280489.9</v>
      </c>
      <c r="C76" s="8">
        <f t="shared" si="14"/>
        <v>0.0003493150685</v>
      </c>
      <c r="D76" s="8">
        <v>3243.63</v>
      </c>
      <c r="E76" s="8">
        <f t="shared" si="17"/>
        <v>-0.01573068485</v>
      </c>
      <c r="F76" s="53">
        <v>0.115788122</v>
      </c>
      <c r="G76" s="8">
        <f t="shared" si="16"/>
        <v>0.000003172277315</v>
      </c>
      <c r="H76" s="8">
        <f t="shared" si="11"/>
        <v>3243.63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54">
        <f t="shared" si="12"/>
        <v>43858</v>
      </c>
      <c r="B77" s="8">
        <f t="shared" si="13"/>
        <v>252368615.3</v>
      </c>
      <c r="C77" s="8">
        <f t="shared" si="14"/>
        <v>0.0003493150685</v>
      </c>
      <c r="D77" s="8">
        <v>3276.24</v>
      </c>
      <c r="E77" s="8">
        <f t="shared" si="17"/>
        <v>0.01005355111</v>
      </c>
      <c r="F77" s="53">
        <v>0.105108391</v>
      </c>
      <c r="G77" s="8">
        <f t="shared" si="16"/>
        <v>0.000002879681945</v>
      </c>
      <c r="H77" s="8">
        <f t="shared" si="11"/>
        <v>3276.24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54">
        <f t="shared" si="12"/>
        <v>43859</v>
      </c>
      <c r="B78" s="8">
        <f t="shared" si="13"/>
        <v>252456771.5</v>
      </c>
      <c r="C78" s="8">
        <f t="shared" si="14"/>
        <v>0.0003493150685</v>
      </c>
      <c r="D78" s="8">
        <v>3273.4</v>
      </c>
      <c r="E78" s="8">
        <f t="shared" si="17"/>
        <v>-0.0008668473616</v>
      </c>
      <c r="F78" s="53">
        <v>0.100052725</v>
      </c>
      <c r="G78" s="8">
        <f t="shared" si="16"/>
        <v>0.000002741170548</v>
      </c>
      <c r="H78" s="8">
        <f t="shared" si="11"/>
        <v>3273.4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54">
        <f t="shared" si="12"/>
        <v>43860</v>
      </c>
      <c r="B79" s="8">
        <f t="shared" si="13"/>
        <v>252544958.4</v>
      </c>
      <c r="C79" s="8">
        <f t="shared" si="14"/>
        <v>0.0003493150685</v>
      </c>
      <c r="D79" s="8">
        <v>3283.66</v>
      </c>
      <c r="E79" s="8">
        <f t="shared" si="17"/>
        <v>0.003134355716</v>
      </c>
      <c r="F79" s="53">
        <v>0.091917461</v>
      </c>
      <c r="G79" s="8">
        <f t="shared" si="16"/>
        <v>0.000002518286603</v>
      </c>
      <c r="H79" s="8">
        <f t="shared" si="11"/>
        <v>3283.66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54">
        <f t="shared" si="12"/>
        <v>43861</v>
      </c>
      <c r="B80" s="8">
        <f t="shared" si="13"/>
        <v>252633176.2</v>
      </c>
      <c r="C80" s="8">
        <f t="shared" si="14"/>
        <v>0.0003493150685</v>
      </c>
      <c r="D80" s="8">
        <v>3225.52</v>
      </c>
      <c r="E80" s="8">
        <f t="shared" si="17"/>
        <v>-0.01770585262</v>
      </c>
      <c r="F80" s="53">
        <v>0.076203575</v>
      </c>
      <c r="G80" s="8">
        <f t="shared" si="16"/>
        <v>0.000002087769178</v>
      </c>
      <c r="H80" s="8">
        <f t="shared" si="11"/>
        <v>3225.52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54">
        <f t="shared" si="12"/>
        <v>43862</v>
      </c>
      <c r="B81" s="8">
        <f t="shared" si="13"/>
        <v>252721424.7</v>
      </c>
      <c r="C81" s="8">
        <f t="shared" si="14"/>
        <v>0.0003493150685</v>
      </c>
      <c r="D81" s="8">
        <v>3225.52</v>
      </c>
      <c r="E81" s="8">
        <f t="shared" si="17"/>
        <v>0</v>
      </c>
      <c r="F81" s="53">
        <v>0.080553111</v>
      </c>
      <c r="G81" s="8">
        <f t="shared" si="16"/>
        <v>0.000002206934548</v>
      </c>
      <c r="H81" s="8">
        <f t="shared" si="11"/>
        <v>3225.52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54">
        <f t="shared" si="12"/>
        <v>43863</v>
      </c>
      <c r="B82" s="8">
        <f t="shared" si="13"/>
        <v>252809704.1</v>
      </c>
      <c r="C82" s="8">
        <f t="shared" si="14"/>
        <v>0.0003493150685</v>
      </c>
      <c r="D82" s="8">
        <v>3225.52</v>
      </c>
      <c r="E82" s="8">
        <f t="shared" si="17"/>
        <v>0</v>
      </c>
      <c r="F82" s="53">
        <v>0.101322366</v>
      </c>
      <c r="G82" s="8">
        <f t="shared" si="16"/>
        <v>0.000002775955233</v>
      </c>
      <c r="H82" s="8">
        <f t="shared" si="11"/>
        <v>3225.52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54">
        <f t="shared" si="12"/>
        <v>43864</v>
      </c>
      <c r="B83" s="8">
        <f t="shared" si="13"/>
        <v>252898014.4</v>
      </c>
      <c r="C83" s="8">
        <f t="shared" si="14"/>
        <v>0.0003493150685</v>
      </c>
      <c r="D83" s="8">
        <v>3248.92</v>
      </c>
      <c r="E83" s="8">
        <f t="shared" si="17"/>
        <v>0.007254644212</v>
      </c>
      <c r="F83" s="53">
        <v>0.109087938</v>
      </c>
      <c r="G83" s="8">
        <f t="shared" si="16"/>
        <v>0.00000298871063</v>
      </c>
      <c r="H83" s="8">
        <f t="shared" si="11"/>
        <v>3248.92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54">
        <f t="shared" si="12"/>
        <v>43865</v>
      </c>
      <c r="B84" s="8">
        <f t="shared" si="13"/>
        <v>252986355.5</v>
      </c>
      <c r="C84" s="8">
        <f t="shared" si="14"/>
        <v>0.0003493150685</v>
      </c>
      <c r="D84" s="8">
        <v>3297.59</v>
      </c>
      <c r="E84" s="8">
        <f t="shared" si="17"/>
        <v>0.01498036271</v>
      </c>
      <c r="F84" s="53">
        <v>0.109472494</v>
      </c>
      <c r="G84" s="8">
        <f t="shared" si="16"/>
        <v>0.000002999246411</v>
      </c>
      <c r="H84" s="8">
        <f t="shared" si="11"/>
        <v>3297.59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54">
        <f t="shared" si="12"/>
        <v>43866</v>
      </c>
      <c r="B85" s="8">
        <f t="shared" si="13"/>
        <v>253074727.4</v>
      </c>
      <c r="C85" s="8">
        <f t="shared" si="14"/>
        <v>0.0003493150685</v>
      </c>
      <c r="D85" s="8">
        <v>3334.69</v>
      </c>
      <c r="E85" s="8">
        <f t="shared" si="17"/>
        <v>0.01125064062</v>
      </c>
      <c r="F85" s="53">
        <v>0.106935117</v>
      </c>
      <c r="G85" s="8">
        <f t="shared" si="16"/>
        <v>0.000002929729233</v>
      </c>
      <c r="H85" s="8">
        <f t="shared" si="11"/>
        <v>3334.69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54">
        <f t="shared" si="12"/>
        <v>43867</v>
      </c>
      <c r="B86" s="8">
        <f t="shared" si="13"/>
        <v>253163130.2</v>
      </c>
      <c r="C86" s="8">
        <f t="shared" si="14"/>
        <v>0.0003493150685</v>
      </c>
      <c r="D86" s="8">
        <v>3345.78</v>
      </c>
      <c r="E86" s="8">
        <f t="shared" si="17"/>
        <v>0.003325646462</v>
      </c>
      <c r="F86" s="53">
        <v>0.09111106</v>
      </c>
      <c r="G86" s="8">
        <f t="shared" si="16"/>
        <v>0.000002496193425</v>
      </c>
      <c r="H86" s="8">
        <f t="shared" si="11"/>
        <v>3345.78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54">
        <f t="shared" si="12"/>
        <v>43868</v>
      </c>
      <c r="B87" s="8">
        <f t="shared" si="13"/>
        <v>253251563.9</v>
      </c>
      <c r="C87" s="8">
        <f t="shared" si="14"/>
        <v>0.0003493150685</v>
      </c>
      <c r="D87" s="8">
        <v>3327.71</v>
      </c>
      <c r="E87" s="8">
        <f t="shared" si="17"/>
        <v>-0.005400833289</v>
      </c>
      <c r="F87" s="53">
        <v>0.095475271</v>
      </c>
      <c r="G87" s="8">
        <f t="shared" si="16"/>
        <v>0.000002615760849</v>
      </c>
      <c r="H87" s="8">
        <f t="shared" si="11"/>
        <v>3327.71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54">
        <f t="shared" si="12"/>
        <v>43869</v>
      </c>
      <c r="B88" s="8">
        <f t="shared" si="13"/>
        <v>253340028.5</v>
      </c>
      <c r="C88" s="8">
        <f t="shared" si="14"/>
        <v>0.0003493150685</v>
      </c>
      <c r="D88" s="8">
        <v>3327.71</v>
      </c>
      <c r="E88" s="8">
        <f t="shared" si="17"/>
        <v>0</v>
      </c>
      <c r="F88" s="53">
        <v>0.111904227</v>
      </c>
      <c r="G88" s="8">
        <f t="shared" si="16"/>
        <v>0.000003065869233</v>
      </c>
      <c r="H88" s="8">
        <f t="shared" si="11"/>
        <v>3327.71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54">
        <f t="shared" si="12"/>
        <v>43870</v>
      </c>
      <c r="B89" s="8">
        <f t="shared" si="13"/>
        <v>253428524</v>
      </c>
      <c r="C89" s="8">
        <f t="shared" si="14"/>
        <v>0.0003493150685</v>
      </c>
      <c r="D89" s="8">
        <v>3327.71</v>
      </c>
      <c r="E89" s="8">
        <f t="shared" si="17"/>
        <v>0</v>
      </c>
      <c r="F89" s="53">
        <v>0.103539541</v>
      </c>
      <c r="G89" s="8">
        <f t="shared" si="16"/>
        <v>0.000002836699753</v>
      </c>
      <c r="H89" s="8">
        <f t="shared" si="11"/>
        <v>3327.71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54">
        <f t="shared" si="12"/>
        <v>43871</v>
      </c>
      <c r="B90" s="8">
        <f t="shared" si="13"/>
        <v>253517050.4</v>
      </c>
      <c r="C90" s="8">
        <f t="shared" si="14"/>
        <v>0.0003493150685</v>
      </c>
      <c r="D90" s="8">
        <v>3352.09</v>
      </c>
      <c r="E90" s="8">
        <f t="shared" si="17"/>
        <v>0.007326359569</v>
      </c>
      <c r="F90" s="53">
        <v>0.098485757</v>
      </c>
      <c r="G90" s="8">
        <f t="shared" si="16"/>
        <v>0.000002698239918</v>
      </c>
      <c r="H90" s="8">
        <f t="shared" si="11"/>
        <v>3352.09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54">
        <f t="shared" si="12"/>
        <v>43872</v>
      </c>
      <c r="B91" s="8">
        <f t="shared" si="13"/>
        <v>253605607.7</v>
      </c>
      <c r="C91" s="8">
        <f t="shared" si="14"/>
        <v>0.0003493150685</v>
      </c>
      <c r="D91" s="8">
        <v>3357.75</v>
      </c>
      <c r="E91" s="8">
        <f t="shared" si="17"/>
        <v>0.001688498817</v>
      </c>
      <c r="F91" s="53">
        <v>0.093002353</v>
      </c>
      <c r="G91" s="8">
        <f t="shared" si="16"/>
        <v>0.000002548009671</v>
      </c>
      <c r="H91" s="8">
        <f t="shared" si="11"/>
        <v>3357.75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54">
        <f t="shared" si="12"/>
        <v>43873</v>
      </c>
      <c r="B92" s="8">
        <f t="shared" si="13"/>
        <v>253694196</v>
      </c>
      <c r="C92" s="8">
        <f t="shared" si="14"/>
        <v>0.0003493150685</v>
      </c>
      <c r="D92" s="8">
        <v>3379.45</v>
      </c>
      <c r="E92" s="8">
        <f t="shared" si="17"/>
        <v>0.006462661008</v>
      </c>
      <c r="F92" s="53">
        <v>0.123077359</v>
      </c>
      <c r="G92" s="8">
        <f t="shared" si="16"/>
        <v>0.000003371982438</v>
      </c>
      <c r="H92" s="8">
        <f t="shared" si="11"/>
        <v>3379.45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54">
        <f t="shared" si="12"/>
        <v>43874</v>
      </c>
      <c r="B93" s="8">
        <f t="shared" si="13"/>
        <v>253782815.2</v>
      </c>
      <c r="C93" s="8">
        <f t="shared" si="14"/>
        <v>0.0003493150685</v>
      </c>
      <c r="D93" s="8">
        <v>3373.94</v>
      </c>
      <c r="E93" s="8">
        <f t="shared" si="17"/>
        <v>-0.001630442824</v>
      </c>
      <c r="F93" s="53">
        <v>0.107858333</v>
      </c>
      <c r="G93" s="8">
        <f t="shared" si="16"/>
        <v>0.000002955022822</v>
      </c>
      <c r="H93" s="8">
        <f t="shared" si="11"/>
        <v>3373.94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54">
        <f t="shared" si="12"/>
        <v>43875</v>
      </c>
      <c r="B94" s="8">
        <f t="shared" si="13"/>
        <v>253871465.4</v>
      </c>
      <c r="C94" s="8">
        <f t="shared" si="14"/>
        <v>0.0003493150685</v>
      </c>
      <c r="D94" s="8">
        <v>3380.16</v>
      </c>
      <c r="E94" s="8">
        <f t="shared" si="17"/>
        <v>0.001843541972</v>
      </c>
      <c r="F94" s="53">
        <v>0.098889241</v>
      </c>
      <c r="G94" s="8">
        <f t="shared" si="16"/>
        <v>0.000002709294274</v>
      </c>
      <c r="H94" s="8">
        <f t="shared" si="11"/>
        <v>3380.16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54">
        <f t="shared" si="12"/>
        <v>43876</v>
      </c>
      <c r="B95" s="8">
        <f t="shared" si="13"/>
        <v>253960146.5</v>
      </c>
      <c r="C95" s="8">
        <f t="shared" si="14"/>
        <v>0.0003493150685</v>
      </c>
      <c r="D95" s="8">
        <v>3380.16</v>
      </c>
      <c r="E95" s="8">
        <f t="shared" si="17"/>
        <v>0</v>
      </c>
      <c r="F95" s="53">
        <v>0.102807661</v>
      </c>
      <c r="G95" s="8">
        <f t="shared" si="16"/>
        <v>0.000002816648247</v>
      </c>
      <c r="H95" s="8">
        <f t="shared" si="11"/>
        <v>3380.16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54">
        <f t="shared" si="12"/>
        <v>43877</v>
      </c>
      <c r="B96" s="8">
        <f t="shared" si="13"/>
        <v>254048858.6</v>
      </c>
      <c r="C96" s="8">
        <f t="shared" si="14"/>
        <v>0.0003493150685</v>
      </c>
      <c r="D96" s="8">
        <v>3380.16</v>
      </c>
      <c r="E96" s="8">
        <f t="shared" si="17"/>
        <v>0</v>
      </c>
      <c r="F96" s="53">
        <v>0.098208707</v>
      </c>
      <c r="G96" s="8">
        <f t="shared" si="16"/>
        <v>0.000002690649507</v>
      </c>
      <c r="H96" s="8">
        <f t="shared" si="11"/>
        <v>3380.16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54">
        <f t="shared" si="12"/>
        <v>43878</v>
      </c>
      <c r="B97" s="8">
        <f t="shared" si="13"/>
        <v>254137601.7</v>
      </c>
      <c r="C97" s="8">
        <f t="shared" si="14"/>
        <v>0.0003493150685</v>
      </c>
      <c r="D97" s="8">
        <v>3380.16</v>
      </c>
      <c r="E97" s="8">
        <f t="shared" si="17"/>
        <v>0</v>
      </c>
      <c r="F97" s="53">
        <v>0.075677171</v>
      </c>
      <c r="G97" s="8">
        <f t="shared" si="16"/>
        <v>0.000002073347151</v>
      </c>
      <c r="H97" s="8">
        <f t="shared" si="11"/>
        <v>3380.16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54">
        <f t="shared" si="12"/>
        <v>43879</v>
      </c>
      <c r="B98" s="8">
        <f t="shared" si="13"/>
        <v>254226375.8</v>
      </c>
      <c r="C98" s="8">
        <f t="shared" si="14"/>
        <v>0.0003493150685</v>
      </c>
      <c r="D98" s="8">
        <v>3370.29</v>
      </c>
      <c r="E98" s="8">
        <f t="shared" si="17"/>
        <v>-0.002919980119</v>
      </c>
      <c r="F98" s="53">
        <v>0.106672394</v>
      </c>
      <c r="G98" s="8">
        <f t="shared" si="16"/>
        <v>0.000002922531342</v>
      </c>
      <c r="H98" s="8">
        <f t="shared" si="11"/>
        <v>3370.29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54">
        <f t="shared" si="12"/>
        <v>43880</v>
      </c>
      <c r="B99" s="8">
        <f t="shared" si="13"/>
        <v>254315180.9</v>
      </c>
      <c r="C99" s="8">
        <f t="shared" si="14"/>
        <v>0.0003493150685</v>
      </c>
      <c r="D99" s="8">
        <v>3386.15</v>
      </c>
      <c r="E99" s="8">
        <f t="shared" si="17"/>
        <v>0.004705826502</v>
      </c>
      <c r="F99" s="53">
        <v>0.097814833</v>
      </c>
      <c r="G99" s="8">
        <f t="shared" si="16"/>
        <v>0.000002679858438</v>
      </c>
      <c r="H99" s="8">
        <f t="shared" si="11"/>
        <v>3386.15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54">
        <f t="shared" si="12"/>
        <v>43881</v>
      </c>
      <c r="B100" s="8">
        <f t="shared" si="13"/>
        <v>254404017</v>
      </c>
      <c r="C100" s="8">
        <f t="shared" si="14"/>
        <v>0.0003493150685</v>
      </c>
      <c r="D100" s="8">
        <v>3373.23</v>
      </c>
      <c r="E100" s="8">
        <f t="shared" si="17"/>
        <v>-0.003815542726</v>
      </c>
      <c r="F100" s="53">
        <v>0.115367852</v>
      </c>
      <c r="G100" s="8">
        <f t="shared" si="16"/>
        <v>0.000003160763068</v>
      </c>
      <c r="H100" s="8">
        <f t="shared" si="11"/>
        <v>3373.23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54">
        <f t="shared" si="12"/>
        <v>43882</v>
      </c>
      <c r="B101" s="8">
        <f t="shared" si="13"/>
        <v>254492884.2</v>
      </c>
      <c r="C101" s="8">
        <f t="shared" si="14"/>
        <v>0.0003493150685</v>
      </c>
      <c r="D101" s="8">
        <v>3337.75</v>
      </c>
      <c r="E101" s="8">
        <f t="shared" si="17"/>
        <v>-0.01051810876</v>
      </c>
      <c r="F101" s="53">
        <v>0.105806812</v>
      </c>
      <c r="G101" s="8">
        <f t="shared" si="16"/>
        <v>0.000002898816767</v>
      </c>
      <c r="H101" s="8">
        <f t="shared" si="11"/>
        <v>3337.75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54">
        <f t="shared" si="12"/>
        <v>43883</v>
      </c>
      <c r="B102" s="8">
        <f t="shared" si="13"/>
        <v>254581782.4</v>
      </c>
      <c r="C102" s="8">
        <f t="shared" si="14"/>
        <v>0.0003493150685</v>
      </c>
      <c r="D102" s="8">
        <v>3337.75</v>
      </c>
      <c r="E102" s="8">
        <f t="shared" si="17"/>
        <v>0</v>
      </c>
      <c r="F102" s="53">
        <v>0.100793938</v>
      </c>
      <c r="G102" s="8">
        <f t="shared" si="16"/>
        <v>0.000002761477753</v>
      </c>
      <c r="H102" s="8">
        <f t="shared" si="11"/>
        <v>3337.75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54">
        <f t="shared" si="12"/>
        <v>43884</v>
      </c>
      <c r="B103" s="8">
        <f t="shared" si="13"/>
        <v>254670711.6</v>
      </c>
      <c r="C103" s="8">
        <f t="shared" si="14"/>
        <v>0.0003493150685</v>
      </c>
      <c r="D103" s="8">
        <v>3337.75</v>
      </c>
      <c r="E103" s="8">
        <f t="shared" si="17"/>
        <v>0</v>
      </c>
      <c r="F103" s="53">
        <v>0.075098274</v>
      </c>
      <c r="G103" s="8">
        <f t="shared" si="16"/>
        <v>0.000002057486959</v>
      </c>
      <c r="H103" s="8">
        <f t="shared" si="11"/>
        <v>3337.75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54">
        <f t="shared" si="12"/>
        <v>43885</v>
      </c>
      <c r="B104" s="8">
        <f t="shared" si="13"/>
        <v>254759671.9</v>
      </c>
      <c r="C104" s="8">
        <f t="shared" si="14"/>
        <v>0.0003493150685</v>
      </c>
      <c r="D104" s="8">
        <v>3225.89</v>
      </c>
      <c r="E104" s="8">
        <f t="shared" si="17"/>
        <v>-0.03351359449</v>
      </c>
      <c r="F104" s="53">
        <v>0.089639592</v>
      </c>
      <c r="G104" s="8">
        <f t="shared" si="16"/>
        <v>0.000002455879233</v>
      </c>
      <c r="H104" s="8">
        <f t="shared" si="11"/>
        <v>3225.89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54">
        <f t="shared" si="12"/>
        <v>43886</v>
      </c>
      <c r="B105" s="8">
        <f t="shared" si="13"/>
        <v>254848663.3</v>
      </c>
      <c r="C105" s="8">
        <f t="shared" si="14"/>
        <v>0.0003493150685</v>
      </c>
      <c r="D105" s="8">
        <v>3128.21</v>
      </c>
      <c r="E105" s="8">
        <f t="shared" si="17"/>
        <v>-0.03028001575</v>
      </c>
      <c r="F105" s="53">
        <v>0.095593812</v>
      </c>
      <c r="G105" s="8">
        <f t="shared" si="16"/>
        <v>0.000002619008548</v>
      </c>
      <c r="H105" s="8">
        <f t="shared" si="11"/>
        <v>3128.21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54">
        <f t="shared" si="12"/>
        <v>43887</v>
      </c>
      <c r="B106" s="8">
        <f t="shared" si="13"/>
        <v>254937685.8</v>
      </c>
      <c r="C106" s="8">
        <f t="shared" si="14"/>
        <v>0.0003493150685</v>
      </c>
      <c r="D106" s="8">
        <v>3116.39</v>
      </c>
      <c r="E106" s="8">
        <f t="shared" si="17"/>
        <v>-0.003778518706</v>
      </c>
      <c r="F106" s="53">
        <v>0.096285448</v>
      </c>
      <c r="G106" s="8">
        <f t="shared" si="16"/>
        <v>0.000002637957479</v>
      </c>
      <c r="H106" s="8">
        <f t="shared" si="11"/>
        <v>3116.39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54">
        <f t="shared" si="12"/>
        <v>43888</v>
      </c>
      <c r="B107" s="8">
        <f t="shared" si="13"/>
        <v>255026739.4</v>
      </c>
      <c r="C107" s="8">
        <f t="shared" si="14"/>
        <v>0.0003493150685</v>
      </c>
      <c r="D107" s="8">
        <v>2978.76</v>
      </c>
      <c r="E107" s="8">
        <f t="shared" si="17"/>
        <v>-0.04416327867</v>
      </c>
      <c r="F107" s="53">
        <v>0.086512271</v>
      </c>
      <c r="G107" s="8">
        <f t="shared" si="16"/>
        <v>0.000002370199205</v>
      </c>
      <c r="H107" s="8">
        <f t="shared" si="11"/>
        <v>2978.76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54">
        <f t="shared" si="12"/>
        <v>43889</v>
      </c>
      <c r="B108" s="8">
        <f t="shared" si="13"/>
        <v>255115824.1</v>
      </c>
      <c r="C108" s="8">
        <f t="shared" si="14"/>
        <v>0.0003493150685</v>
      </c>
      <c r="D108" s="8">
        <v>2954.22</v>
      </c>
      <c r="E108" s="8">
        <f t="shared" si="17"/>
        <v>-0.008238327358</v>
      </c>
      <c r="F108" s="53">
        <v>0.100258942</v>
      </c>
      <c r="G108" s="8">
        <f t="shared" si="16"/>
        <v>0.000002746820329</v>
      </c>
      <c r="H108" s="8">
        <f t="shared" si="11"/>
        <v>2954.22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54">
        <f t="shared" si="12"/>
        <v>43890</v>
      </c>
      <c r="B109" s="8">
        <f t="shared" si="13"/>
        <v>255204939.9</v>
      </c>
      <c r="C109" s="8">
        <f t="shared" si="14"/>
        <v>0.0003493150685</v>
      </c>
      <c r="D109" s="8">
        <v>2954.22</v>
      </c>
      <c r="E109" s="8">
        <f t="shared" si="17"/>
        <v>0</v>
      </c>
      <c r="F109" s="53">
        <v>0.11471738</v>
      </c>
      <c r="G109" s="8">
        <f t="shared" si="16"/>
        <v>0.000003142941918</v>
      </c>
      <c r="H109" s="8">
        <f t="shared" si="11"/>
        <v>2954.22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54">
        <f t="shared" si="12"/>
        <v>43891</v>
      </c>
      <c r="B110" s="8">
        <f t="shared" si="13"/>
        <v>255294086.8</v>
      </c>
      <c r="C110" s="8">
        <f t="shared" si="14"/>
        <v>0.0003493150685</v>
      </c>
      <c r="D110" s="8">
        <v>2954.22</v>
      </c>
      <c r="E110" s="8">
        <f t="shared" si="17"/>
        <v>0</v>
      </c>
      <c r="F110" s="53">
        <v>0.109192446</v>
      </c>
      <c r="G110" s="8">
        <f t="shared" si="16"/>
        <v>0.000002991573863</v>
      </c>
      <c r="H110" s="8">
        <f t="shared" si="11"/>
        <v>2954.22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54">
        <f t="shared" si="12"/>
        <v>43892</v>
      </c>
      <c r="B111" s="8">
        <f t="shared" si="13"/>
        <v>255383264.9</v>
      </c>
      <c r="C111" s="8">
        <f t="shared" si="14"/>
        <v>0.0003493150685</v>
      </c>
      <c r="D111" s="8">
        <v>3090.23</v>
      </c>
      <c r="E111" s="8">
        <f t="shared" si="17"/>
        <v>0.04603922524</v>
      </c>
      <c r="F111" s="53">
        <v>0.103690631</v>
      </c>
      <c r="G111" s="8">
        <f t="shared" si="16"/>
        <v>0.000002840839205</v>
      </c>
      <c r="H111" s="8">
        <f t="shared" si="11"/>
        <v>3090.23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54">
        <f t="shared" si="12"/>
        <v>43893</v>
      </c>
      <c r="B112" s="8">
        <f t="shared" si="13"/>
        <v>255472474.1</v>
      </c>
      <c r="C112" s="8">
        <f t="shared" si="14"/>
        <v>0.0003493150685</v>
      </c>
      <c r="D112" s="8">
        <v>3003.37</v>
      </c>
      <c r="E112" s="8">
        <f t="shared" si="17"/>
        <v>-0.02810794019</v>
      </c>
      <c r="F112" s="53">
        <v>0.113370439</v>
      </c>
      <c r="G112" s="8">
        <f t="shared" si="16"/>
        <v>0.000003106039425</v>
      </c>
      <c r="H112" s="8">
        <f t="shared" si="11"/>
        <v>3003.37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54">
        <f t="shared" si="12"/>
        <v>43894</v>
      </c>
      <c r="B113" s="8">
        <f t="shared" si="13"/>
        <v>255561714.5</v>
      </c>
      <c r="C113" s="8">
        <f t="shared" si="14"/>
        <v>0.0003493150685</v>
      </c>
      <c r="D113" s="8">
        <v>3130.12</v>
      </c>
      <c r="E113" s="8">
        <f t="shared" si="17"/>
        <v>0.04220259242</v>
      </c>
      <c r="F113" s="53">
        <v>0.114316363</v>
      </c>
      <c r="G113" s="8">
        <f t="shared" si="16"/>
        <v>0.000003131955151</v>
      </c>
      <c r="H113" s="8">
        <f t="shared" si="11"/>
        <v>3130.12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54">
        <f t="shared" si="12"/>
        <v>43895</v>
      </c>
      <c r="B114" s="8">
        <f t="shared" si="13"/>
        <v>255650986</v>
      </c>
      <c r="C114" s="8">
        <f t="shared" si="14"/>
        <v>0.0003493150685</v>
      </c>
      <c r="D114" s="8">
        <v>3023.94</v>
      </c>
      <c r="E114" s="8">
        <f t="shared" si="17"/>
        <v>-0.03392202216</v>
      </c>
      <c r="F114" s="53">
        <v>0.09938454</v>
      </c>
      <c r="G114" s="8">
        <f t="shared" si="16"/>
        <v>0.00000272286411</v>
      </c>
      <c r="H114" s="8">
        <f t="shared" si="11"/>
        <v>3023.94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54">
        <f t="shared" si="12"/>
        <v>43896</v>
      </c>
      <c r="B115" s="8">
        <f t="shared" si="13"/>
        <v>255740288.8</v>
      </c>
      <c r="C115" s="8">
        <f t="shared" si="14"/>
        <v>0.0003493150685</v>
      </c>
      <c r="D115" s="8">
        <v>2972.37</v>
      </c>
      <c r="E115" s="8">
        <f t="shared" si="17"/>
        <v>-0.0170539098</v>
      </c>
      <c r="F115" s="53">
        <v>0.103230412</v>
      </c>
      <c r="G115" s="8">
        <f t="shared" si="16"/>
        <v>0.000002828230466</v>
      </c>
      <c r="H115" s="8">
        <f t="shared" si="11"/>
        <v>2972.37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54">
        <f t="shared" si="12"/>
        <v>43897</v>
      </c>
      <c r="B116" s="8">
        <f t="shared" si="13"/>
        <v>255829622.7</v>
      </c>
      <c r="C116" s="8">
        <f t="shared" si="14"/>
        <v>0.0003493150685</v>
      </c>
      <c r="D116" s="8">
        <v>2972.37</v>
      </c>
      <c r="E116" s="8">
        <f t="shared" si="17"/>
        <v>0</v>
      </c>
      <c r="F116" s="53">
        <v>0.115703741</v>
      </c>
      <c r="G116" s="8">
        <f t="shared" si="16"/>
        <v>0.000003169965507</v>
      </c>
      <c r="H116" s="8">
        <f t="shared" si="11"/>
        <v>2972.37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54">
        <f t="shared" si="12"/>
        <v>43898</v>
      </c>
      <c r="B117" s="8">
        <f t="shared" si="13"/>
        <v>255918987.9</v>
      </c>
      <c r="C117" s="8">
        <f t="shared" si="14"/>
        <v>0.0003493150685</v>
      </c>
      <c r="D117" s="8">
        <v>2972.37</v>
      </c>
      <c r="E117" s="8">
        <f t="shared" si="17"/>
        <v>0</v>
      </c>
      <c r="F117" s="53">
        <v>0.100269654</v>
      </c>
      <c r="G117" s="8">
        <f t="shared" si="16"/>
        <v>0.000002747113808</v>
      </c>
      <c r="H117" s="8">
        <f t="shared" si="11"/>
        <v>2972.37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54">
        <f t="shared" si="12"/>
        <v>43899</v>
      </c>
      <c r="B118" s="8">
        <f t="shared" si="13"/>
        <v>256008384.2</v>
      </c>
      <c r="C118" s="8">
        <f t="shared" si="14"/>
        <v>0.0003493150685</v>
      </c>
      <c r="D118" s="8">
        <v>2746.56</v>
      </c>
      <c r="E118" s="8">
        <f t="shared" si="17"/>
        <v>-0.07596968076</v>
      </c>
      <c r="F118" s="53">
        <v>0.084860352</v>
      </c>
      <c r="G118" s="8">
        <f t="shared" si="16"/>
        <v>0.000002324941151</v>
      </c>
      <c r="H118" s="8">
        <f t="shared" si="11"/>
        <v>2746.56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54">
        <f t="shared" si="12"/>
        <v>43900</v>
      </c>
      <c r="B119" s="8">
        <f t="shared" si="13"/>
        <v>256097811.8</v>
      </c>
      <c r="C119" s="8">
        <f t="shared" si="14"/>
        <v>0.0003493150685</v>
      </c>
      <c r="D119" s="8">
        <v>2882.23</v>
      </c>
      <c r="E119" s="8">
        <f t="shared" si="17"/>
        <v>0.04939633578</v>
      </c>
      <c r="F119" s="53">
        <v>0.115522836</v>
      </c>
      <c r="G119" s="8">
        <f t="shared" si="16"/>
        <v>0.000003165009205</v>
      </c>
      <c r="H119" s="8">
        <f t="shared" si="11"/>
        <v>2882.23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54">
        <f t="shared" si="12"/>
        <v>43901</v>
      </c>
      <c r="B120" s="8">
        <f t="shared" si="13"/>
        <v>256187270.6</v>
      </c>
      <c r="C120" s="8">
        <f t="shared" si="14"/>
        <v>0.0003493150685</v>
      </c>
      <c r="D120" s="8">
        <v>2741.38</v>
      </c>
      <c r="E120" s="8">
        <f t="shared" si="17"/>
        <v>-0.04886841092</v>
      </c>
      <c r="F120" s="53">
        <v>0.088184702</v>
      </c>
      <c r="G120" s="8">
        <f t="shared" si="16"/>
        <v>0.000002416019233</v>
      </c>
      <c r="H120" s="8">
        <f t="shared" si="11"/>
        <v>2741.38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54">
        <f t="shared" si="12"/>
        <v>43902</v>
      </c>
      <c r="B121" s="8">
        <f t="shared" si="13"/>
        <v>256276760.7</v>
      </c>
      <c r="C121" s="8">
        <f t="shared" si="14"/>
        <v>0.0003493150685</v>
      </c>
      <c r="D121" s="8">
        <v>2480.64</v>
      </c>
      <c r="E121" s="8">
        <f t="shared" si="17"/>
        <v>-0.09511268047</v>
      </c>
      <c r="F121" s="53">
        <v>0.087921</v>
      </c>
      <c r="G121" s="8">
        <f t="shared" si="16"/>
        <v>0.000002408794521</v>
      </c>
      <c r="H121" s="8">
        <f t="shared" si="11"/>
        <v>2480.64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54">
        <f t="shared" si="12"/>
        <v>43903</v>
      </c>
      <c r="B122" s="8">
        <f t="shared" si="13"/>
        <v>256366282</v>
      </c>
      <c r="C122" s="8">
        <f t="shared" si="14"/>
        <v>0.0003493150685</v>
      </c>
      <c r="D122" s="8">
        <v>2711.02</v>
      </c>
      <c r="E122" s="8">
        <f t="shared" si="17"/>
        <v>0.09287119453</v>
      </c>
      <c r="F122" s="53">
        <v>0.091385116</v>
      </c>
      <c r="G122" s="8">
        <f t="shared" si="16"/>
        <v>0.000002503701808</v>
      </c>
      <c r="H122" s="8">
        <f t="shared" si="11"/>
        <v>2711.02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54">
        <f t="shared" si="12"/>
        <v>43904</v>
      </c>
      <c r="B123" s="8">
        <f t="shared" si="13"/>
        <v>256455834.6</v>
      </c>
      <c r="C123" s="8">
        <f t="shared" si="14"/>
        <v>0.0003493150685</v>
      </c>
      <c r="D123" s="8">
        <v>2711.02</v>
      </c>
      <c r="E123" s="8">
        <f t="shared" si="17"/>
        <v>0</v>
      </c>
      <c r="F123" s="53">
        <v>0.085815502</v>
      </c>
      <c r="G123" s="8">
        <f t="shared" si="16"/>
        <v>0.000002351109644</v>
      </c>
      <c r="H123" s="8">
        <f t="shared" si="11"/>
        <v>2711.02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54">
        <f t="shared" si="12"/>
        <v>43905</v>
      </c>
      <c r="B124" s="8">
        <f t="shared" si="13"/>
        <v>256545418.5</v>
      </c>
      <c r="C124" s="8">
        <f t="shared" si="14"/>
        <v>0.0003493150685</v>
      </c>
      <c r="D124" s="8">
        <v>2711.02</v>
      </c>
      <c r="E124" s="8">
        <f t="shared" si="17"/>
        <v>0</v>
      </c>
      <c r="F124" s="53">
        <v>0.090551717</v>
      </c>
      <c r="G124" s="8">
        <f t="shared" si="16"/>
        <v>0.000002480868959</v>
      </c>
      <c r="H124" s="8">
        <f t="shared" si="11"/>
        <v>2711.02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54">
        <f t="shared" si="12"/>
        <v>43906</v>
      </c>
      <c r="B125" s="8">
        <f t="shared" si="13"/>
        <v>256635033.7</v>
      </c>
      <c r="C125" s="8">
        <f t="shared" si="14"/>
        <v>0.0003493150685</v>
      </c>
      <c r="D125" s="8">
        <v>2386.13</v>
      </c>
      <c r="E125" s="8">
        <f t="shared" si="17"/>
        <v>-0.1198405028</v>
      </c>
      <c r="F125" s="53">
        <v>0.093956021</v>
      </c>
      <c r="G125" s="8">
        <f t="shared" si="16"/>
        <v>0.000002574137562</v>
      </c>
      <c r="H125" s="8">
        <f t="shared" si="11"/>
        <v>2386.13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54">
        <f t="shared" si="12"/>
        <v>43907</v>
      </c>
      <c r="B126" s="8">
        <f t="shared" si="13"/>
        <v>256724680.2</v>
      </c>
      <c r="C126" s="8">
        <f t="shared" si="14"/>
        <v>0.0003493150685</v>
      </c>
      <c r="D126" s="8">
        <v>2529.19</v>
      </c>
      <c r="E126" s="8">
        <f t="shared" si="17"/>
        <v>0.05995482224</v>
      </c>
      <c r="F126" s="53">
        <v>0.115047652</v>
      </c>
      <c r="G126" s="8">
        <f t="shared" si="16"/>
        <v>0.000003151990466</v>
      </c>
      <c r="H126" s="8">
        <f t="shared" si="11"/>
        <v>2529.19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54">
        <f t="shared" si="12"/>
        <v>43908</v>
      </c>
      <c r="B127" s="8">
        <f t="shared" si="13"/>
        <v>256814358</v>
      </c>
      <c r="C127" s="8">
        <f t="shared" si="14"/>
        <v>0.0003493150685</v>
      </c>
      <c r="D127" s="8">
        <v>2398.1</v>
      </c>
      <c r="E127" s="8">
        <f t="shared" si="17"/>
        <v>-0.05183082331</v>
      </c>
      <c r="F127" s="53">
        <v>0.10157825</v>
      </c>
      <c r="G127" s="8">
        <f t="shared" si="16"/>
        <v>0.000002782965753</v>
      </c>
      <c r="H127" s="8">
        <f t="shared" si="11"/>
        <v>2398.1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54">
        <f t="shared" si="12"/>
        <v>43909</v>
      </c>
      <c r="B128" s="8">
        <f t="shared" si="13"/>
        <v>256904067.1</v>
      </c>
      <c r="C128" s="8">
        <f t="shared" si="14"/>
        <v>0.0003493150685</v>
      </c>
      <c r="D128" s="8">
        <v>2409.39</v>
      </c>
      <c r="E128" s="8">
        <f t="shared" si="17"/>
        <v>0.004707893749</v>
      </c>
      <c r="F128" s="53">
        <v>0.099815567</v>
      </c>
      <c r="G128" s="8">
        <f t="shared" si="16"/>
        <v>0.000002734673068</v>
      </c>
      <c r="H128" s="8">
        <f t="shared" si="11"/>
        <v>2409.39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54">
        <f t="shared" si="12"/>
        <v>43910</v>
      </c>
      <c r="B129" s="8">
        <f t="shared" si="13"/>
        <v>256993807.6</v>
      </c>
      <c r="C129" s="8">
        <f t="shared" si="14"/>
        <v>0.0003493150685</v>
      </c>
      <c r="D129" s="8">
        <v>2304.92</v>
      </c>
      <c r="E129" s="8">
        <f t="shared" si="17"/>
        <v>-0.04335952253</v>
      </c>
      <c r="F129" s="53">
        <v>0.101103096</v>
      </c>
      <c r="G129" s="8">
        <f t="shared" si="16"/>
        <v>0.000002769947836</v>
      </c>
      <c r="H129" s="8">
        <f t="shared" si="11"/>
        <v>2304.92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54">
        <f t="shared" si="12"/>
        <v>43911</v>
      </c>
      <c r="B130" s="8">
        <f t="shared" si="13"/>
        <v>257083579.4</v>
      </c>
      <c r="C130" s="8">
        <f t="shared" si="14"/>
        <v>0.0003493150685</v>
      </c>
      <c r="D130" s="8">
        <v>2304.92</v>
      </c>
      <c r="E130" s="8">
        <f t="shared" si="17"/>
        <v>0</v>
      </c>
      <c r="F130" s="53">
        <v>0.096586397</v>
      </c>
      <c r="G130" s="8">
        <f t="shared" si="16"/>
        <v>0.000002646202658</v>
      </c>
      <c r="H130" s="8">
        <f t="shared" si="11"/>
        <v>2304.92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54">
        <f t="shared" si="12"/>
        <v>43912</v>
      </c>
      <c r="B131" s="8">
        <f t="shared" si="13"/>
        <v>257173382.6</v>
      </c>
      <c r="C131" s="8">
        <f t="shared" si="14"/>
        <v>0.0003493150685</v>
      </c>
      <c r="D131" s="8">
        <v>2304.92</v>
      </c>
      <c r="E131" s="8">
        <f t="shared" si="17"/>
        <v>0</v>
      </c>
      <c r="F131" s="53">
        <v>0.083047307</v>
      </c>
      <c r="G131" s="8">
        <f t="shared" si="16"/>
        <v>0.000002275268685</v>
      </c>
      <c r="H131" s="8">
        <f t="shared" si="11"/>
        <v>2304.92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54">
        <f t="shared" si="12"/>
        <v>43913</v>
      </c>
      <c r="B132" s="8">
        <f t="shared" si="13"/>
        <v>257263217.1</v>
      </c>
      <c r="C132" s="8">
        <f t="shared" si="14"/>
        <v>0.0003493150685</v>
      </c>
      <c r="D132" s="8">
        <v>2237.4</v>
      </c>
      <c r="E132" s="8">
        <f t="shared" si="17"/>
        <v>-0.02929385836</v>
      </c>
      <c r="F132" s="53">
        <v>0.102596308</v>
      </c>
      <c r="G132" s="8">
        <f t="shared" si="16"/>
        <v>0.000002810857753</v>
      </c>
      <c r="H132" s="8">
        <f t="shared" si="11"/>
        <v>2237.4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54">
        <f t="shared" si="12"/>
        <v>43914</v>
      </c>
      <c r="B133" s="8">
        <f t="shared" si="13"/>
        <v>257353083</v>
      </c>
      <c r="C133" s="8">
        <f t="shared" si="14"/>
        <v>0.0003493150685</v>
      </c>
      <c r="D133" s="8">
        <v>2447.33</v>
      </c>
      <c r="E133" s="8">
        <f t="shared" si="17"/>
        <v>0.0938276571</v>
      </c>
      <c r="F133" s="53">
        <v>0.105278013</v>
      </c>
      <c r="G133" s="8">
        <f t="shared" si="16"/>
        <v>0.000002884329123</v>
      </c>
      <c r="H133" s="8">
        <f t="shared" si="11"/>
        <v>2447.33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54">
        <f t="shared" si="12"/>
        <v>43915</v>
      </c>
      <c r="B134" s="8">
        <f t="shared" si="13"/>
        <v>257442980.3</v>
      </c>
      <c r="C134" s="8">
        <f t="shared" si="14"/>
        <v>0.0003493150685</v>
      </c>
      <c r="D134" s="8">
        <v>2475.56</v>
      </c>
      <c r="E134" s="8">
        <f t="shared" si="17"/>
        <v>0.0115350198</v>
      </c>
      <c r="F134" s="53">
        <v>0.101188369</v>
      </c>
      <c r="G134" s="8">
        <f t="shared" si="16"/>
        <v>0.000002772284082</v>
      </c>
      <c r="H134" s="8">
        <f t="shared" si="11"/>
        <v>2475.56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54">
        <f t="shared" si="12"/>
        <v>43916</v>
      </c>
      <c r="B135" s="8">
        <f t="shared" si="13"/>
        <v>257532909</v>
      </c>
      <c r="C135" s="8">
        <f t="shared" si="14"/>
        <v>0.0003493150685</v>
      </c>
      <c r="D135" s="8">
        <v>2630.07</v>
      </c>
      <c r="E135" s="8">
        <f t="shared" si="17"/>
        <v>0.06241416084</v>
      </c>
      <c r="F135" s="53">
        <v>0.099223256</v>
      </c>
      <c r="G135" s="8">
        <f t="shared" si="16"/>
        <v>0.00000271844537</v>
      </c>
      <c r="H135" s="8">
        <f t="shared" si="11"/>
        <v>2630.07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54">
        <f t="shared" si="12"/>
        <v>43917</v>
      </c>
      <c r="B136" s="8">
        <f t="shared" si="13"/>
        <v>257622869.2</v>
      </c>
      <c r="C136" s="8">
        <f t="shared" si="14"/>
        <v>0.0003493150685</v>
      </c>
      <c r="D136" s="8">
        <v>2541.47</v>
      </c>
      <c r="E136" s="8">
        <f t="shared" si="17"/>
        <v>-0.03368731631</v>
      </c>
      <c r="F136" s="53">
        <v>0.076985631</v>
      </c>
      <c r="G136" s="8">
        <f t="shared" si="16"/>
        <v>0.00000210919537</v>
      </c>
      <c r="H136" s="8">
        <f t="shared" si="11"/>
        <v>2541.47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54">
        <f t="shared" si="12"/>
        <v>43918</v>
      </c>
      <c r="B137" s="8">
        <f t="shared" si="13"/>
        <v>257712860.7</v>
      </c>
      <c r="C137" s="8">
        <f t="shared" si="14"/>
        <v>0.0003493150685</v>
      </c>
      <c r="D137" s="8">
        <v>2541.47</v>
      </c>
      <c r="E137" s="8">
        <f t="shared" si="17"/>
        <v>0</v>
      </c>
      <c r="F137" s="53">
        <v>0.110379895</v>
      </c>
      <c r="G137" s="8">
        <f t="shared" si="16"/>
        <v>0.000003024106712</v>
      </c>
      <c r="H137" s="8">
        <f t="shared" si="11"/>
        <v>2541.47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54">
        <f t="shared" si="12"/>
        <v>43919</v>
      </c>
      <c r="B138" s="8">
        <f t="shared" si="13"/>
        <v>257802883.7</v>
      </c>
      <c r="C138" s="8">
        <f t="shared" si="14"/>
        <v>0.0003493150685</v>
      </c>
      <c r="D138" s="8">
        <v>2541.47</v>
      </c>
      <c r="E138" s="8">
        <f t="shared" si="17"/>
        <v>0</v>
      </c>
      <c r="F138" s="53">
        <v>0.10811248</v>
      </c>
      <c r="G138" s="8">
        <f t="shared" si="16"/>
        <v>0.000002961985753</v>
      </c>
      <c r="H138" s="8">
        <f t="shared" si="11"/>
        <v>2541.47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54">
        <f t="shared" si="12"/>
        <v>43920</v>
      </c>
      <c r="B139" s="8">
        <f t="shared" si="13"/>
        <v>257892938.1</v>
      </c>
      <c r="C139" s="8">
        <f t="shared" si="14"/>
        <v>0.0003493150685</v>
      </c>
      <c r="D139" s="8">
        <v>2626.65</v>
      </c>
      <c r="E139" s="8">
        <f t="shared" si="17"/>
        <v>0.03351603599</v>
      </c>
      <c r="F139" s="53">
        <v>0.109745624</v>
      </c>
      <c r="G139" s="8">
        <f t="shared" si="16"/>
        <v>0.000003006729425</v>
      </c>
      <c r="H139" s="8">
        <f t="shared" si="11"/>
        <v>2626.65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54">
        <f t="shared" si="12"/>
        <v>43921</v>
      </c>
      <c r="B140" s="8">
        <f t="shared" si="13"/>
        <v>257983024</v>
      </c>
      <c r="C140" s="8">
        <f t="shared" si="14"/>
        <v>0.0003493150685</v>
      </c>
      <c r="D140" s="8">
        <v>2584.59</v>
      </c>
      <c r="E140" s="8">
        <f t="shared" si="17"/>
        <v>-0.01601279196</v>
      </c>
      <c r="F140" s="53">
        <v>0.100045451</v>
      </c>
      <c r="G140" s="8">
        <f t="shared" si="16"/>
        <v>0.00000274097126</v>
      </c>
      <c r="H140" s="8">
        <f t="shared" si="11"/>
        <v>2584.59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54">
        <f t="shared" si="12"/>
        <v>43922</v>
      </c>
      <c r="B141" s="8">
        <f t="shared" si="13"/>
        <v>258073141.4</v>
      </c>
      <c r="C141" s="8">
        <f t="shared" si="14"/>
        <v>0.0003493150685</v>
      </c>
      <c r="D141" s="8">
        <v>2470.5</v>
      </c>
      <c r="E141" s="8">
        <f t="shared" si="17"/>
        <v>-0.04414239783</v>
      </c>
      <c r="F141" s="53">
        <v>0.103166767</v>
      </c>
      <c r="G141" s="8">
        <f t="shared" si="16"/>
        <v>0.000002826486767</v>
      </c>
      <c r="H141" s="8">
        <f t="shared" si="11"/>
        <v>2470.5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54">
        <f t="shared" si="12"/>
        <v>43923</v>
      </c>
      <c r="B142" s="8">
        <f t="shared" si="13"/>
        <v>258163290.2</v>
      </c>
      <c r="C142" s="8">
        <f t="shared" si="14"/>
        <v>0.0003493150685</v>
      </c>
      <c r="D142" s="8">
        <v>2526.9</v>
      </c>
      <c r="E142" s="8">
        <f t="shared" si="17"/>
        <v>0.02282938676</v>
      </c>
      <c r="F142" s="53">
        <v>0.090624423</v>
      </c>
      <c r="G142" s="8">
        <f t="shared" si="16"/>
        <v>0.000002482860904</v>
      </c>
      <c r="H142" s="8">
        <f t="shared" si="11"/>
        <v>2526.9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54">
        <f t="shared" si="12"/>
        <v>43924</v>
      </c>
      <c r="B143" s="8">
        <f t="shared" si="13"/>
        <v>258253470.5</v>
      </c>
      <c r="C143" s="8">
        <f t="shared" si="14"/>
        <v>0.0003493150685</v>
      </c>
      <c r="D143" s="8">
        <v>2488.65</v>
      </c>
      <c r="E143" s="8">
        <f t="shared" si="17"/>
        <v>-0.01513712454</v>
      </c>
      <c r="F143" s="53">
        <v>0.112609473</v>
      </c>
      <c r="G143" s="8">
        <f t="shared" si="16"/>
        <v>0.000003085191041</v>
      </c>
      <c r="H143" s="8">
        <f t="shared" si="11"/>
        <v>2488.65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54">
        <f t="shared" si="12"/>
        <v>43925</v>
      </c>
      <c r="B144" s="8">
        <f t="shared" si="13"/>
        <v>258343682.4</v>
      </c>
      <c r="C144" s="8">
        <f t="shared" si="14"/>
        <v>0.0003493150685</v>
      </c>
      <c r="D144" s="8">
        <v>2488.65</v>
      </c>
      <c r="E144" s="8">
        <f t="shared" si="17"/>
        <v>0</v>
      </c>
      <c r="F144" s="53">
        <v>0.0857889</v>
      </c>
      <c r="G144" s="8">
        <f t="shared" si="16"/>
        <v>0.000002350380822</v>
      </c>
      <c r="H144" s="8">
        <f t="shared" si="11"/>
        <v>2488.65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54">
        <f t="shared" si="12"/>
        <v>43926</v>
      </c>
      <c r="B145" s="8">
        <f t="shared" si="13"/>
        <v>258433925.7</v>
      </c>
      <c r="C145" s="8">
        <f t="shared" si="14"/>
        <v>0.0003493150685</v>
      </c>
      <c r="D145" s="8">
        <v>2488.65</v>
      </c>
      <c r="E145" s="8">
        <f t="shared" si="17"/>
        <v>0</v>
      </c>
      <c r="F145" s="53">
        <v>0.120268397</v>
      </c>
      <c r="G145" s="8">
        <f t="shared" si="16"/>
        <v>0.000003295024575</v>
      </c>
      <c r="H145" s="8">
        <f t="shared" si="11"/>
        <v>2488.65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54">
        <f t="shared" si="12"/>
        <v>43927</v>
      </c>
      <c r="B146" s="8">
        <f t="shared" si="13"/>
        <v>258524200.6</v>
      </c>
      <c r="C146" s="8">
        <f t="shared" si="14"/>
        <v>0.0003493150685</v>
      </c>
      <c r="D146" s="8">
        <v>2663.68</v>
      </c>
      <c r="E146" s="8">
        <f t="shared" si="17"/>
        <v>0.07033130412</v>
      </c>
      <c r="F146" s="53">
        <v>0.098444559</v>
      </c>
      <c r="G146" s="8">
        <f t="shared" si="16"/>
        <v>0.000002697111205</v>
      </c>
      <c r="H146" s="8">
        <f t="shared" si="11"/>
        <v>2663.68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54">
        <f t="shared" si="12"/>
        <v>43928</v>
      </c>
      <c r="B147" s="8">
        <f t="shared" si="13"/>
        <v>258614507</v>
      </c>
      <c r="C147" s="8">
        <f t="shared" si="14"/>
        <v>0.0003493150685</v>
      </c>
      <c r="D147" s="8">
        <v>2659.41</v>
      </c>
      <c r="E147" s="8">
        <f t="shared" si="17"/>
        <v>-0.001603045411</v>
      </c>
      <c r="F147" s="53">
        <v>0.098860199</v>
      </c>
      <c r="G147" s="8">
        <f t="shared" si="16"/>
        <v>0.000002708498603</v>
      </c>
      <c r="H147" s="8">
        <f t="shared" si="11"/>
        <v>2659.41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54">
        <f t="shared" si="12"/>
        <v>43929</v>
      </c>
      <c r="B148" s="8">
        <f t="shared" si="13"/>
        <v>258704844.9</v>
      </c>
      <c r="C148" s="8">
        <f t="shared" si="14"/>
        <v>0.0003493150685</v>
      </c>
      <c r="D148" s="8">
        <v>2749.98</v>
      </c>
      <c r="E148" s="8">
        <f t="shared" si="17"/>
        <v>0.03405642605</v>
      </c>
      <c r="F148" s="53">
        <v>0.086087673</v>
      </c>
      <c r="G148" s="8">
        <f t="shared" si="16"/>
        <v>0.000002358566384</v>
      </c>
      <c r="H148" s="8">
        <f t="shared" si="11"/>
        <v>2749.98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54">
        <f t="shared" si="12"/>
        <v>43930</v>
      </c>
      <c r="B149" s="8">
        <f t="shared" si="13"/>
        <v>258795214.4</v>
      </c>
      <c r="C149" s="8">
        <f t="shared" si="14"/>
        <v>0.0003493150685</v>
      </c>
      <c r="D149" s="8">
        <v>2789.82</v>
      </c>
      <c r="E149" s="8">
        <f t="shared" si="17"/>
        <v>0.01448737809</v>
      </c>
      <c r="F149" s="53">
        <v>0.10856766</v>
      </c>
      <c r="G149" s="8">
        <f t="shared" si="16"/>
        <v>0.000002974456438</v>
      </c>
      <c r="H149" s="8">
        <f t="shared" si="11"/>
        <v>2789.82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54">
        <f t="shared" si="12"/>
        <v>43931</v>
      </c>
      <c r="B150" s="8">
        <f t="shared" si="13"/>
        <v>258885615.5</v>
      </c>
      <c r="C150" s="8">
        <f t="shared" si="14"/>
        <v>0.0003493150685</v>
      </c>
      <c r="D150" s="8">
        <v>2789.82</v>
      </c>
      <c r="E150" s="8">
        <f t="shared" si="17"/>
        <v>0</v>
      </c>
      <c r="F150" s="53">
        <v>0.096109946</v>
      </c>
      <c r="G150" s="8">
        <f t="shared" si="16"/>
        <v>0.000002633149205</v>
      </c>
      <c r="H150" s="8">
        <f t="shared" si="11"/>
        <v>2789.82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54">
        <f t="shared" si="12"/>
        <v>43932</v>
      </c>
      <c r="B151" s="8">
        <f t="shared" si="13"/>
        <v>258976048.1</v>
      </c>
      <c r="C151" s="8">
        <f t="shared" si="14"/>
        <v>0.0003493150685</v>
      </c>
      <c r="D151" s="8">
        <v>2789.82</v>
      </c>
      <c r="E151" s="8">
        <f t="shared" si="17"/>
        <v>0</v>
      </c>
      <c r="F151" s="53">
        <v>0.09350534</v>
      </c>
      <c r="G151" s="8">
        <f t="shared" si="16"/>
        <v>0.000002561790137</v>
      </c>
      <c r="H151" s="8">
        <f t="shared" si="11"/>
        <v>2789.82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54">
        <f t="shared" si="12"/>
        <v>43933</v>
      </c>
      <c r="B152" s="8">
        <f t="shared" si="13"/>
        <v>259066512.4</v>
      </c>
      <c r="C152" s="8">
        <f t="shared" si="14"/>
        <v>0.0003493150685</v>
      </c>
      <c r="D152" s="8">
        <v>2789.82</v>
      </c>
      <c r="E152" s="8">
        <f t="shared" si="17"/>
        <v>0</v>
      </c>
      <c r="F152" s="53">
        <v>0.094063216</v>
      </c>
      <c r="G152" s="8">
        <f t="shared" si="16"/>
        <v>0.000002577074411</v>
      </c>
      <c r="H152" s="8">
        <f t="shared" si="11"/>
        <v>2789.82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54">
        <f t="shared" si="12"/>
        <v>43934</v>
      </c>
      <c r="B153" s="8">
        <f t="shared" si="13"/>
        <v>259157008.2</v>
      </c>
      <c r="C153" s="8">
        <f t="shared" si="14"/>
        <v>0.0003493150685</v>
      </c>
      <c r="D153" s="8">
        <v>2761.63</v>
      </c>
      <c r="E153" s="8">
        <f t="shared" si="17"/>
        <v>-0.01010459456</v>
      </c>
      <c r="F153" s="53">
        <v>0.109522145</v>
      </c>
      <c r="G153" s="8">
        <f t="shared" si="16"/>
        <v>0.000003000606712</v>
      </c>
      <c r="H153" s="8">
        <f t="shared" si="11"/>
        <v>2761.63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54">
        <f t="shared" si="12"/>
        <v>43935</v>
      </c>
      <c r="B154" s="8">
        <f t="shared" si="13"/>
        <v>259247535.6</v>
      </c>
      <c r="C154" s="8">
        <f t="shared" si="14"/>
        <v>0.0003493150685</v>
      </c>
      <c r="D154" s="8">
        <v>2846.06</v>
      </c>
      <c r="E154" s="8">
        <f t="shared" si="17"/>
        <v>0.0305725242</v>
      </c>
      <c r="F154" s="53">
        <v>0.096296602</v>
      </c>
      <c r="G154" s="8">
        <f t="shared" si="16"/>
        <v>0.000002638263068</v>
      </c>
      <c r="H154" s="8">
        <f t="shared" si="11"/>
        <v>2846.06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54">
        <f t="shared" si="12"/>
        <v>43936</v>
      </c>
      <c r="B155" s="8">
        <f t="shared" si="13"/>
        <v>259338094.7</v>
      </c>
      <c r="C155" s="8">
        <f t="shared" si="14"/>
        <v>0.0003493150685</v>
      </c>
      <c r="D155" s="8">
        <v>2783.36</v>
      </c>
      <c r="E155" s="8">
        <f t="shared" si="17"/>
        <v>-0.02203045614</v>
      </c>
      <c r="F155" s="53">
        <v>0.09721837</v>
      </c>
      <c r="G155" s="8">
        <f t="shared" si="16"/>
        <v>0.000002663516986</v>
      </c>
      <c r="H155" s="8">
        <f t="shared" si="11"/>
        <v>2783.36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54">
        <f t="shared" si="12"/>
        <v>43937</v>
      </c>
      <c r="B156" s="8">
        <f t="shared" si="13"/>
        <v>259428685.4</v>
      </c>
      <c r="C156" s="8">
        <f t="shared" si="14"/>
        <v>0.0003493150685</v>
      </c>
      <c r="D156" s="8">
        <v>2799.55</v>
      </c>
      <c r="E156" s="8">
        <f t="shared" si="17"/>
        <v>0.005816710738</v>
      </c>
      <c r="F156" s="53">
        <v>0.094654944</v>
      </c>
      <c r="G156" s="8">
        <f t="shared" si="16"/>
        <v>0.000002593286137</v>
      </c>
      <c r="H156" s="8">
        <f t="shared" si="11"/>
        <v>2799.55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54">
        <f t="shared" si="12"/>
        <v>43938</v>
      </c>
      <c r="B157" s="8">
        <f t="shared" si="13"/>
        <v>259519307.8</v>
      </c>
      <c r="C157" s="8">
        <f t="shared" si="14"/>
        <v>0.0003493150685</v>
      </c>
      <c r="D157" s="8">
        <v>2874.56</v>
      </c>
      <c r="E157" s="8">
        <f t="shared" si="17"/>
        <v>0.02679359183</v>
      </c>
      <c r="F157" s="53">
        <v>0.106280817</v>
      </c>
      <c r="G157" s="8">
        <f t="shared" si="16"/>
        <v>0.000002911803205</v>
      </c>
      <c r="H157" s="8">
        <f t="shared" si="11"/>
        <v>2874.56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54">
        <f t="shared" si="12"/>
        <v>43939</v>
      </c>
      <c r="B158" s="8">
        <f t="shared" si="13"/>
        <v>259609961.8</v>
      </c>
      <c r="C158" s="8">
        <f t="shared" si="14"/>
        <v>0.0003493150685</v>
      </c>
      <c r="D158" s="8">
        <v>2874.56</v>
      </c>
      <c r="E158" s="8">
        <f t="shared" si="17"/>
        <v>0</v>
      </c>
      <c r="F158" s="53">
        <v>0.094044097</v>
      </c>
      <c r="G158" s="8">
        <f t="shared" si="16"/>
        <v>0.000002576550603</v>
      </c>
      <c r="H158" s="8">
        <f t="shared" si="11"/>
        <v>2874.56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54">
        <f t="shared" si="12"/>
        <v>43940</v>
      </c>
      <c r="B159" s="8">
        <f t="shared" si="13"/>
        <v>259700647.4</v>
      </c>
      <c r="C159" s="8">
        <f t="shared" si="14"/>
        <v>0.0003493150685</v>
      </c>
      <c r="D159" s="8">
        <v>2874.56</v>
      </c>
      <c r="E159" s="8">
        <f t="shared" si="17"/>
        <v>0</v>
      </c>
      <c r="F159" s="53">
        <v>0.097490443</v>
      </c>
      <c r="G159" s="8">
        <f t="shared" si="16"/>
        <v>0.000002670971041</v>
      </c>
      <c r="H159" s="8">
        <f t="shared" si="11"/>
        <v>2874.56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54">
        <f t="shared" si="12"/>
        <v>43941</v>
      </c>
      <c r="B160" s="8">
        <f t="shared" si="13"/>
        <v>259791364.8</v>
      </c>
      <c r="C160" s="8">
        <f t="shared" si="14"/>
        <v>0.0003493150685</v>
      </c>
      <c r="D160" s="8">
        <v>2823.16</v>
      </c>
      <c r="E160" s="8">
        <f t="shared" si="17"/>
        <v>-0.01788099744</v>
      </c>
      <c r="F160" s="53">
        <v>0.096172238</v>
      </c>
      <c r="G160" s="8">
        <f t="shared" si="16"/>
        <v>0.000002634855836</v>
      </c>
      <c r="H160" s="8">
        <f t="shared" si="11"/>
        <v>2823.16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54">
        <f t="shared" si="12"/>
        <v>43942</v>
      </c>
      <c r="B161" s="8">
        <f t="shared" si="13"/>
        <v>259882113.8</v>
      </c>
      <c r="C161" s="8">
        <f t="shared" si="14"/>
        <v>0.0003493150685</v>
      </c>
      <c r="D161" s="8">
        <v>2736.56</v>
      </c>
      <c r="E161" s="8">
        <f t="shared" si="17"/>
        <v>-0.03067484663</v>
      </c>
      <c r="F161" s="53">
        <v>0.098824712</v>
      </c>
      <c r="G161" s="8">
        <f t="shared" si="16"/>
        <v>0.000002707526356</v>
      </c>
      <c r="H161" s="8">
        <f t="shared" si="11"/>
        <v>2736.56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54">
        <f t="shared" si="12"/>
        <v>43943</v>
      </c>
      <c r="B162" s="8">
        <f t="shared" si="13"/>
        <v>259972894.6</v>
      </c>
      <c r="C162" s="8">
        <f t="shared" si="14"/>
        <v>0.0003493150685</v>
      </c>
      <c r="D162" s="8">
        <v>2799.31</v>
      </c>
      <c r="E162" s="8">
        <f t="shared" si="17"/>
        <v>0.02293024819</v>
      </c>
      <c r="F162" s="53">
        <v>0.084229218</v>
      </c>
      <c r="G162" s="8">
        <f t="shared" si="16"/>
        <v>0.000002307649808</v>
      </c>
      <c r="H162" s="8">
        <f t="shared" si="11"/>
        <v>2799.31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54">
        <f t="shared" si="12"/>
        <v>43944</v>
      </c>
      <c r="B163" s="8">
        <f t="shared" si="13"/>
        <v>260063707</v>
      </c>
      <c r="C163" s="8">
        <f t="shared" si="14"/>
        <v>0.0003493150685</v>
      </c>
      <c r="D163" s="8">
        <v>2797.8</v>
      </c>
      <c r="E163" s="8">
        <f t="shared" si="17"/>
        <v>-0.0005394186425</v>
      </c>
      <c r="F163" s="53">
        <v>0.089115129</v>
      </c>
      <c r="G163" s="8">
        <f t="shared" si="16"/>
        <v>0.000002441510384</v>
      </c>
      <c r="H163" s="8">
        <f t="shared" si="11"/>
        <v>2797.8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54">
        <f t="shared" si="12"/>
        <v>43945</v>
      </c>
      <c r="B164" s="8">
        <f t="shared" si="13"/>
        <v>260154551.2</v>
      </c>
      <c r="C164" s="8">
        <f t="shared" si="14"/>
        <v>0.0003493150685</v>
      </c>
      <c r="D164" s="8">
        <v>2836.74</v>
      </c>
      <c r="E164" s="8">
        <f t="shared" si="17"/>
        <v>0.01391807849</v>
      </c>
      <c r="F164" s="53">
        <v>0.119538538</v>
      </c>
      <c r="G164" s="8">
        <f t="shared" si="16"/>
        <v>0.000003275028438</v>
      </c>
      <c r="H164" s="8">
        <f t="shared" si="11"/>
        <v>2836.74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54">
        <f t="shared" si="12"/>
        <v>43946</v>
      </c>
      <c r="B165" s="8">
        <f t="shared" si="13"/>
        <v>260245427.1</v>
      </c>
      <c r="C165" s="8">
        <f t="shared" si="14"/>
        <v>0.0003493150685</v>
      </c>
      <c r="D165" s="8">
        <v>2836.74</v>
      </c>
      <c r="E165" s="8">
        <f t="shared" si="17"/>
        <v>0</v>
      </c>
      <c r="F165" s="53">
        <v>0.103573653</v>
      </c>
      <c r="G165" s="8">
        <f t="shared" si="16"/>
        <v>0.000002837634329</v>
      </c>
      <c r="H165" s="8">
        <f t="shared" si="11"/>
        <v>2836.74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54">
        <f t="shared" si="12"/>
        <v>43947</v>
      </c>
      <c r="B166" s="8">
        <f t="shared" si="13"/>
        <v>260336334.8</v>
      </c>
      <c r="C166" s="8">
        <f t="shared" si="14"/>
        <v>0.0003493150685</v>
      </c>
      <c r="D166" s="8">
        <v>2836.74</v>
      </c>
      <c r="E166" s="8">
        <f t="shared" si="17"/>
        <v>0</v>
      </c>
      <c r="F166" s="53">
        <v>0.104615868</v>
      </c>
      <c r="G166" s="8">
        <f t="shared" si="16"/>
        <v>0.000002866188164</v>
      </c>
      <c r="H166" s="8">
        <f t="shared" si="11"/>
        <v>2836.74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54">
        <f t="shared" si="12"/>
        <v>43948</v>
      </c>
      <c r="B167" s="8">
        <f t="shared" si="13"/>
        <v>260427274.2</v>
      </c>
      <c r="C167" s="8">
        <f t="shared" si="14"/>
        <v>0.0003493150685</v>
      </c>
      <c r="D167" s="8">
        <v>2878.48</v>
      </c>
      <c r="E167" s="8">
        <f t="shared" si="17"/>
        <v>0.0147140732</v>
      </c>
      <c r="F167" s="53">
        <v>0.100564921</v>
      </c>
      <c r="G167" s="8">
        <f t="shared" si="16"/>
        <v>0.000002755203315</v>
      </c>
      <c r="H167" s="8">
        <f t="shared" si="11"/>
        <v>2878.48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54">
        <f t="shared" si="12"/>
        <v>43949</v>
      </c>
      <c r="B168" s="8">
        <f t="shared" si="13"/>
        <v>260518245.3</v>
      </c>
      <c r="C168" s="8">
        <f t="shared" si="14"/>
        <v>0.0003493150685</v>
      </c>
      <c r="D168" s="8">
        <v>2863.39</v>
      </c>
      <c r="E168" s="8">
        <f t="shared" si="17"/>
        <v>-0.005242350129</v>
      </c>
      <c r="F168" s="53">
        <v>0.105121283</v>
      </c>
      <c r="G168" s="8">
        <f t="shared" si="16"/>
        <v>0.000002880035151</v>
      </c>
      <c r="H168" s="8">
        <f t="shared" si="11"/>
        <v>2863.39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54">
        <f t="shared" si="12"/>
        <v>43950</v>
      </c>
      <c r="B169" s="8">
        <f t="shared" si="13"/>
        <v>260609248.3</v>
      </c>
      <c r="C169" s="8">
        <f t="shared" si="14"/>
        <v>0.0003493150685</v>
      </c>
      <c r="D169" s="8">
        <v>2939.51</v>
      </c>
      <c r="E169" s="8">
        <f t="shared" si="17"/>
        <v>0.02658387436</v>
      </c>
      <c r="F169" s="53">
        <v>0.092060554</v>
      </c>
      <c r="G169" s="8">
        <f t="shared" si="16"/>
        <v>0.000002522206959</v>
      </c>
      <c r="H169" s="8">
        <f t="shared" si="11"/>
        <v>2939.51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54">
        <f t="shared" si="12"/>
        <v>43951</v>
      </c>
      <c r="B170" s="8">
        <f t="shared" si="13"/>
        <v>260700283</v>
      </c>
      <c r="C170" s="8">
        <f t="shared" si="14"/>
        <v>0.0003493150685</v>
      </c>
      <c r="D170" s="8">
        <v>2912.43</v>
      </c>
      <c r="E170" s="8">
        <f t="shared" si="17"/>
        <v>-0.009212419757</v>
      </c>
      <c r="F170" s="53">
        <v>0.109278779</v>
      </c>
      <c r="G170" s="8">
        <f t="shared" si="16"/>
        <v>0.000002993939151</v>
      </c>
      <c r="H170" s="8">
        <f t="shared" si="11"/>
        <v>2912.43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54">
        <f t="shared" si="12"/>
        <v>43952</v>
      </c>
      <c r="B171" s="8">
        <f t="shared" si="13"/>
        <v>260791349.5</v>
      </c>
      <c r="C171" s="8">
        <f t="shared" si="14"/>
        <v>0.0003493150685</v>
      </c>
      <c r="D171" s="8">
        <v>2830.71</v>
      </c>
      <c r="E171" s="8">
        <f t="shared" si="17"/>
        <v>-0.02805904348</v>
      </c>
      <c r="F171" s="53">
        <v>0.088396038</v>
      </c>
      <c r="G171" s="8">
        <f t="shared" si="16"/>
        <v>0.00000242180926</v>
      </c>
      <c r="H171" s="8">
        <f t="shared" si="11"/>
        <v>2830.71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54">
        <f t="shared" si="12"/>
        <v>43953</v>
      </c>
      <c r="B172" s="8">
        <f t="shared" si="13"/>
        <v>260882447.9</v>
      </c>
      <c r="C172" s="8">
        <f t="shared" si="14"/>
        <v>0.0003493150685</v>
      </c>
      <c r="D172" s="8">
        <v>2830.71</v>
      </c>
      <c r="E172" s="8">
        <f t="shared" si="17"/>
        <v>0</v>
      </c>
      <c r="F172" s="53">
        <v>0.104668007</v>
      </c>
      <c r="G172" s="8">
        <f t="shared" si="16"/>
        <v>0.00000286761663</v>
      </c>
      <c r="H172" s="8">
        <f t="shared" si="11"/>
        <v>2830.71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54">
        <f t="shared" si="12"/>
        <v>43954</v>
      </c>
      <c r="B173" s="8">
        <f t="shared" si="13"/>
        <v>260973578.1</v>
      </c>
      <c r="C173" s="8">
        <f t="shared" si="14"/>
        <v>0.0003493150685</v>
      </c>
      <c r="D173" s="8">
        <v>2830.71</v>
      </c>
      <c r="E173" s="8">
        <f t="shared" si="17"/>
        <v>0</v>
      </c>
      <c r="F173" s="53">
        <v>0.098856576</v>
      </c>
      <c r="G173" s="8">
        <f t="shared" si="16"/>
        <v>0.000002708399342</v>
      </c>
      <c r="H173" s="8">
        <f t="shared" si="11"/>
        <v>2830.71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54">
        <f t="shared" si="12"/>
        <v>43955</v>
      </c>
      <c r="B174" s="8">
        <f t="shared" si="13"/>
        <v>261064740.1</v>
      </c>
      <c r="C174" s="8">
        <f t="shared" si="14"/>
        <v>0.0003493150685</v>
      </c>
      <c r="D174" s="8">
        <v>2842.74</v>
      </c>
      <c r="E174" s="8">
        <f t="shared" si="17"/>
        <v>0.004249817184</v>
      </c>
      <c r="F174" s="53">
        <v>0.112887476</v>
      </c>
      <c r="G174" s="8">
        <f t="shared" si="16"/>
        <v>0.000003092807562</v>
      </c>
      <c r="H174" s="8">
        <f t="shared" si="11"/>
        <v>2842.74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54">
        <f t="shared" si="12"/>
        <v>43956</v>
      </c>
      <c r="B175" s="8">
        <f t="shared" si="13"/>
        <v>261155933.9</v>
      </c>
      <c r="C175" s="8">
        <f t="shared" si="14"/>
        <v>0.0003493150685</v>
      </c>
      <c r="D175" s="8">
        <v>2868.44</v>
      </c>
      <c r="E175" s="8">
        <f t="shared" si="17"/>
        <v>0.009040573531</v>
      </c>
      <c r="F175" s="53">
        <v>0.106122614</v>
      </c>
      <c r="G175" s="8">
        <f t="shared" si="16"/>
        <v>0.000002907468877</v>
      </c>
      <c r="H175" s="8">
        <f t="shared" si="11"/>
        <v>2868.44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54">
        <f t="shared" si="12"/>
        <v>43957</v>
      </c>
      <c r="B176" s="8">
        <f t="shared" si="13"/>
        <v>261247159.6</v>
      </c>
      <c r="C176" s="8">
        <f t="shared" si="14"/>
        <v>0.0003493150685</v>
      </c>
      <c r="D176" s="8">
        <v>2848.42</v>
      </c>
      <c r="E176" s="8">
        <f t="shared" si="17"/>
        <v>-0.006979403439</v>
      </c>
      <c r="F176" s="53">
        <v>0.105921983</v>
      </c>
      <c r="G176" s="8">
        <f t="shared" si="16"/>
        <v>0.000002901972137</v>
      </c>
      <c r="H176" s="8">
        <f t="shared" si="11"/>
        <v>2848.42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54">
        <f t="shared" si="12"/>
        <v>43958</v>
      </c>
      <c r="B177" s="8">
        <f t="shared" si="13"/>
        <v>261338417.2</v>
      </c>
      <c r="C177" s="8">
        <f t="shared" si="14"/>
        <v>0.0003493150685</v>
      </c>
      <c r="D177" s="8">
        <v>2881.19</v>
      </c>
      <c r="E177" s="8">
        <f t="shared" si="17"/>
        <v>0.01150462362</v>
      </c>
      <c r="F177" s="53">
        <v>0.102322222</v>
      </c>
      <c r="G177" s="8">
        <f t="shared" si="16"/>
        <v>0.000002803348548</v>
      </c>
      <c r="H177" s="8">
        <f t="shared" si="11"/>
        <v>2881.19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54">
        <f t="shared" si="12"/>
        <v>43959</v>
      </c>
      <c r="B178" s="8">
        <f t="shared" si="13"/>
        <v>261429706.6</v>
      </c>
      <c r="C178" s="8">
        <f t="shared" si="14"/>
        <v>0.0003493150685</v>
      </c>
      <c r="D178" s="8">
        <v>2929.8</v>
      </c>
      <c r="E178" s="8">
        <f t="shared" si="17"/>
        <v>0.01687150101</v>
      </c>
      <c r="F178" s="53">
        <v>0.100751821</v>
      </c>
      <c r="G178" s="8">
        <f t="shared" si="16"/>
        <v>0.000002760323863</v>
      </c>
      <c r="H178" s="8">
        <f t="shared" si="11"/>
        <v>2929.8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54">
        <f t="shared" si="12"/>
        <v>43960</v>
      </c>
      <c r="B179" s="8">
        <f t="shared" si="13"/>
        <v>261521028</v>
      </c>
      <c r="C179" s="8">
        <f t="shared" si="14"/>
        <v>0.0003493150685</v>
      </c>
      <c r="D179" s="8">
        <v>2929.8</v>
      </c>
      <c r="E179" s="8">
        <f t="shared" si="17"/>
        <v>0</v>
      </c>
      <c r="F179" s="53">
        <v>0.088018412</v>
      </c>
      <c r="G179" s="8">
        <f t="shared" si="16"/>
        <v>0.000002411463342</v>
      </c>
      <c r="H179" s="8">
        <f t="shared" si="11"/>
        <v>2929.8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54">
        <f t="shared" si="12"/>
        <v>43961</v>
      </c>
      <c r="B180" s="8">
        <f t="shared" si="13"/>
        <v>261612381.2</v>
      </c>
      <c r="C180" s="8">
        <f t="shared" si="14"/>
        <v>0.0003493150685</v>
      </c>
      <c r="D180" s="8">
        <v>2929.8</v>
      </c>
      <c r="E180" s="8">
        <f t="shared" si="17"/>
        <v>0</v>
      </c>
      <c r="F180" s="53">
        <v>0.12179398</v>
      </c>
      <c r="G180" s="8">
        <f t="shared" si="16"/>
        <v>0.00000333682137</v>
      </c>
      <c r="H180" s="8">
        <f t="shared" si="11"/>
        <v>2929.8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54">
        <f t="shared" si="12"/>
        <v>43962</v>
      </c>
      <c r="B181" s="8">
        <f t="shared" si="13"/>
        <v>261703766.4</v>
      </c>
      <c r="C181" s="8">
        <f t="shared" si="14"/>
        <v>0.0003493150685</v>
      </c>
      <c r="D181" s="8">
        <v>2930.19</v>
      </c>
      <c r="E181" s="8">
        <f t="shared" si="17"/>
        <v>0.0001331148884</v>
      </c>
      <c r="F181" s="53">
        <v>0.101184188</v>
      </c>
      <c r="G181" s="8">
        <f t="shared" si="16"/>
        <v>0.000002772169534</v>
      </c>
      <c r="H181" s="8">
        <f t="shared" si="11"/>
        <v>2930.19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54">
        <f t="shared" si="12"/>
        <v>43963</v>
      </c>
      <c r="B182" s="8">
        <f t="shared" si="13"/>
        <v>261795183.4</v>
      </c>
      <c r="C182" s="8">
        <f t="shared" si="14"/>
        <v>0.0003493150685</v>
      </c>
      <c r="D182" s="8">
        <v>2870.12</v>
      </c>
      <c r="E182" s="8">
        <f t="shared" si="17"/>
        <v>-0.02050037711</v>
      </c>
      <c r="F182" s="53">
        <v>0.118675204</v>
      </c>
      <c r="G182" s="8">
        <f t="shared" si="16"/>
        <v>0.000003251375452</v>
      </c>
      <c r="H182" s="8">
        <f t="shared" si="11"/>
        <v>2870.12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54">
        <f t="shared" si="12"/>
        <v>43964</v>
      </c>
      <c r="B183" s="8">
        <f t="shared" si="13"/>
        <v>261886632.4</v>
      </c>
      <c r="C183" s="8">
        <f t="shared" si="14"/>
        <v>0.0003493150685</v>
      </c>
      <c r="D183" s="8">
        <v>2820.0</v>
      </c>
      <c r="E183" s="8">
        <f t="shared" si="17"/>
        <v>-0.01746268449</v>
      </c>
      <c r="F183" s="53">
        <v>0.098568012</v>
      </c>
      <c r="G183" s="8">
        <f t="shared" si="16"/>
        <v>0.000002700493479</v>
      </c>
      <c r="H183" s="8">
        <f t="shared" si="11"/>
        <v>2820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54">
        <f t="shared" si="12"/>
        <v>43965</v>
      </c>
      <c r="B184" s="8">
        <f t="shared" si="13"/>
        <v>261978113.4</v>
      </c>
      <c r="C184" s="8">
        <f t="shared" si="14"/>
        <v>0.0003493150685</v>
      </c>
      <c r="D184" s="8">
        <v>2852.5</v>
      </c>
      <c r="E184" s="8">
        <f t="shared" si="17"/>
        <v>0.0115248227</v>
      </c>
      <c r="F184" s="53">
        <v>0.063482766</v>
      </c>
      <c r="G184" s="8">
        <f t="shared" si="16"/>
        <v>0.000001739253863</v>
      </c>
      <c r="H184" s="8">
        <f t="shared" si="11"/>
        <v>2852.5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54">
        <f t="shared" si="12"/>
        <v>43966</v>
      </c>
      <c r="B185" s="8">
        <f t="shared" si="13"/>
        <v>262069626.3</v>
      </c>
      <c r="C185" s="8">
        <f t="shared" si="14"/>
        <v>0.0003493150685</v>
      </c>
      <c r="D185" s="8">
        <v>2863.7</v>
      </c>
      <c r="E185" s="8">
        <f t="shared" si="17"/>
        <v>0.003926380368</v>
      </c>
      <c r="F185" s="53">
        <v>0.099853686</v>
      </c>
      <c r="G185" s="8">
        <f t="shared" si="16"/>
        <v>0.000002735717425</v>
      </c>
      <c r="H185" s="8">
        <f t="shared" si="11"/>
        <v>2863.7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54">
        <f t="shared" si="12"/>
        <v>43967</v>
      </c>
      <c r="B186" s="8">
        <f t="shared" si="13"/>
        <v>262161171.1</v>
      </c>
      <c r="C186" s="8">
        <f t="shared" si="14"/>
        <v>0.0003493150685</v>
      </c>
      <c r="D186" s="8">
        <v>2863.7</v>
      </c>
      <c r="E186" s="8">
        <f t="shared" si="17"/>
        <v>0</v>
      </c>
      <c r="F186" s="53">
        <v>0.110743868</v>
      </c>
      <c r="G186" s="8">
        <f t="shared" si="16"/>
        <v>0.000003034078575</v>
      </c>
      <c r="H186" s="8">
        <f t="shared" si="11"/>
        <v>2863.7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54">
        <f t="shared" si="12"/>
        <v>43968</v>
      </c>
      <c r="B187" s="8">
        <f t="shared" si="13"/>
        <v>262252748</v>
      </c>
      <c r="C187" s="8">
        <f t="shared" si="14"/>
        <v>0.0003493150685</v>
      </c>
      <c r="D187" s="8">
        <v>2863.7</v>
      </c>
      <c r="E187" s="8">
        <f t="shared" si="17"/>
        <v>0</v>
      </c>
      <c r="F187" s="53">
        <v>0.083741717</v>
      </c>
      <c r="G187" s="8">
        <f t="shared" si="16"/>
        <v>0.000002294293616</v>
      </c>
      <c r="H187" s="8">
        <f t="shared" si="11"/>
        <v>2863.7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54">
        <f t="shared" si="12"/>
        <v>43969</v>
      </c>
      <c r="B188" s="8">
        <f t="shared" si="13"/>
        <v>262344356.8</v>
      </c>
      <c r="C188" s="8">
        <f t="shared" si="14"/>
        <v>0.0003493150685</v>
      </c>
      <c r="D188" s="8">
        <v>2953.91</v>
      </c>
      <c r="E188" s="8">
        <f t="shared" si="17"/>
        <v>0.03150120474</v>
      </c>
      <c r="F188" s="53">
        <v>0.097869346</v>
      </c>
      <c r="G188" s="8">
        <f t="shared" si="16"/>
        <v>0.000002681351945</v>
      </c>
      <c r="H188" s="8">
        <f t="shared" si="11"/>
        <v>2953.91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54">
        <f t="shared" si="12"/>
        <v>43970</v>
      </c>
      <c r="B189" s="8">
        <f t="shared" si="13"/>
        <v>262435997.7</v>
      </c>
      <c r="C189" s="8">
        <f t="shared" si="14"/>
        <v>0.0003493150685</v>
      </c>
      <c r="D189" s="8">
        <v>2922.94</v>
      </c>
      <c r="E189" s="8">
        <f t="shared" si="17"/>
        <v>-0.0104844088</v>
      </c>
      <c r="F189" s="53">
        <v>0.112495673</v>
      </c>
      <c r="G189" s="8">
        <f t="shared" si="16"/>
        <v>0.000003082073233</v>
      </c>
      <c r="H189" s="8">
        <f t="shared" si="11"/>
        <v>2922.94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54">
        <f t="shared" si="12"/>
        <v>43971</v>
      </c>
      <c r="B190" s="8">
        <f t="shared" si="13"/>
        <v>262527670.5</v>
      </c>
      <c r="C190" s="8">
        <f t="shared" si="14"/>
        <v>0.0003493150685</v>
      </c>
      <c r="D190" s="8">
        <v>2971.61</v>
      </c>
      <c r="E190" s="8">
        <f t="shared" si="17"/>
        <v>0.01665104313</v>
      </c>
      <c r="F190" s="53">
        <v>0.104512165</v>
      </c>
      <c r="G190" s="8">
        <f t="shared" si="16"/>
        <v>0.000002863346986</v>
      </c>
      <c r="H190" s="8">
        <f t="shared" si="11"/>
        <v>2971.61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54">
        <f t="shared" si="12"/>
        <v>43972</v>
      </c>
      <c r="B191" s="8">
        <f t="shared" si="13"/>
        <v>262619375.4</v>
      </c>
      <c r="C191" s="8">
        <f t="shared" si="14"/>
        <v>0.0003493150685</v>
      </c>
      <c r="D191" s="8">
        <v>2948.51</v>
      </c>
      <c r="E191" s="8">
        <f t="shared" si="17"/>
        <v>-0.007773563826</v>
      </c>
      <c r="F191" s="53">
        <v>0.090307445</v>
      </c>
      <c r="G191" s="8">
        <f t="shared" si="16"/>
        <v>0.000002474176575</v>
      </c>
      <c r="H191" s="8">
        <f t="shared" si="11"/>
        <v>2948.51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54">
        <f t="shared" si="12"/>
        <v>43973</v>
      </c>
      <c r="B192" s="8">
        <f t="shared" si="13"/>
        <v>262711112.3</v>
      </c>
      <c r="C192" s="8">
        <f t="shared" si="14"/>
        <v>0.0003493150685</v>
      </c>
      <c r="D192" s="8">
        <v>2955.45</v>
      </c>
      <c r="E192" s="8">
        <f t="shared" si="17"/>
        <v>0.002353731207</v>
      </c>
      <c r="F192" s="53">
        <v>0.124559195</v>
      </c>
      <c r="G192" s="8">
        <f t="shared" si="16"/>
        <v>0.000003412580685</v>
      </c>
      <c r="H192" s="8">
        <f t="shared" si="11"/>
        <v>2955.45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54">
        <f t="shared" si="12"/>
        <v>43974</v>
      </c>
      <c r="B193" s="8">
        <f t="shared" si="13"/>
        <v>262802881.2</v>
      </c>
      <c r="C193" s="8">
        <f t="shared" si="14"/>
        <v>0.0003493150685</v>
      </c>
      <c r="D193" s="8">
        <v>2955.45</v>
      </c>
      <c r="E193" s="8">
        <f t="shared" si="17"/>
        <v>0</v>
      </c>
      <c r="F193" s="53">
        <v>0.094409295</v>
      </c>
      <c r="G193" s="8">
        <f t="shared" si="16"/>
        <v>0.000002586556027</v>
      </c>
      <c r="H193" s="8">
        <f t="shared" si="11"/>
        <v>2955.45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54">
        <f t="shared" si="12"/>
        <v>43975</v>
      </c>
      <c r="B194" s="8">
        <f t="shared" si="13"/>
        <v>262894682.2</v>
      </c>
      <c r="C194" s="8">
        <f t="shared" si="14"/>
        <v>0.0003493150685</v>
      </c>
      <c r="D194" s="8">
        <v>2955.45</v>
      </c>
      <c r="E194" s="8">
        <f t="shared" si="17"/>
        <v>0</v>
      </c>
      <c r="F194" s="53">
        <v>0.095147588</v>
      </c>
      <c r="G194" s="8">
        <f t="shared" si="16"/>
        <v>0.000002606783233</v>
      </c>
      <c r="H194" s="8">
        <f t="shared" si="11"/>
        <v>2955.45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54">
        <f t="shared" si="12"/>
        <v>43976</v>
      </c>
      <c r="B195" s="8">
        <f t="shared" si="13"/>
        <v>262986515.3</v>
      </c>
      <c r="C195" s="8">
        <f t="shared" si="14"/>
        <v>0.0003493150685</v>
      </c>
      <c r="D195" s="8">
        <v>2955.45</v>
      </c>
      <c r="E195" s="8">
        <f t="shared" si="17"/>
        <v>0</v>
      </c>
      <c r="F195" s="53">
        <v>0.097448523</v>
      </c>
      <c r="G195" s="8">
        <f t="shared" si="16"/>
        <v>0.000002669822548</v>
      </c>
      <c r="H195" s="8">
        <f t="shared" si="11"/>
        <v>2955.45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54">
        <f t="shared" si="12"/>
        <v>43977</v>
      </c>
      <c r="B196" s="8">
        <f t="shared" si="13"/>
        <v>263078380.5</v>
      </c>
      <c r="C196" s="8">
        <f t="shared" si="14"/>
        <v>0.0003493150685</v>
      </c>
      <c r="D196" s="8">
        <v>2991.77</v>
      </c>
      <c r="E196" s="8">
        <f t="shared" si="17"/>
        <v>0.0122891607</v>
      </c>
      <c r="F196" s="53">
        <v>0.085921387</v>
      </c>
      <c r="G196" s="8">
        <f t="shared" si="16"/>
        <v>0.000002354010603</v>
      </c>
      <c r="H196" s="8">
        <f t="shared" si="11"/>
        <v>2991.77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54">
        <f t="shared" si="12"/>
        <v>43978</v>
      </c>
      <c r="B197" s="8">
        <f t="shared" si="13"/>
        <v>263170277.7</v>
      </c>
      <c r="C197" s="8">
        <f t="shared" si="14"/>
        <v>0.0003493150685</v>
      </c>
      <c r="D197" s="8">
        <v>3036.13</v>
      </c>
      <c r="E197" s="8">
        <f t="shared" si="17"/>
        <v>0.01482734301</v>
      </c>
      <c r="F197" s="53">
        <v>0.100804798</v>
      </c>
      <c r="G197" s="8">
        <f t="shared" si="16"/>
        <v>0.000002761775288</v>
      </c>
      <c r="H197" s="8">
        <f t="shared" si="11"/>
        <v>3036.13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54">
        <f t="shared" si="12"/>
        <v>43979</v>
      </c>
      <c r="B198" s="8">
        <f t="shared" si="13"/>
        <v>263262207.1</v>
      </c>
      <c r="C198" s="8">
        <f t="shared" si="14"/>
        <v>0.0003493150685</v>
      </c>
      <c r="D198" s="8">
        <v>3029.73</v>
      </c>
      <c r="E198" s="8">
        <f t="shared" si="17"/>
        <v>-0.002107946629</v>
      </c>
      <c r="F198" s="53">
        <v>0.109374768</v>
      </c>
      <c r="G198" s="8">
        <f t="shared" si="16"/>
        <v>0.000002996568986</v>
      </c>
      <c r="H198" s="8">
        <f t="shared" si="11"/>
        <v>3029.73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54">
        <f t="shared" si="12"/>
        <v>43980</v>
      </c>
      <c r="B199" s="8">
        <f t="shared" si="13"/>
        <v>263354168.5</v>
      </c>
      <c r="C199" s="8">
        <f t="shared" si="14"/>
        <v>0.0003493150685</v>
      </c>
      <c r="D199" s="8">
        <v>3044.31</v>
      </c>
      <c r="E199" s="8">
        <f t="shared" si="17"/>
        <v>0.004812310008</v>
      </c>
      <c r="F199" s="53">
        <v>0.109505178</v>
      </c>
      <c r="G199" s="8">
        <f t="shared" si="16"/>
        <v>0.000003000141863</v>
      </c>
      <c r="H199" s="8">
        <f t="shared" si="11"/>
        <v>3044.31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54">
        <f t="shared" si="12"/>
        <v>43981</v>
      </c>
      <c r="B200" s="8">
        <f t="shared" si="13"/>
        <v>263446162.1</v>
      </c>
      <c r="C200" s="8">
        <f t="shared" si="14"/>
        <v>0.0003493150685</v>
      </c>
      <c r="D200" s="8">
        <v>3044.31</v>
      </c>
      <c r="E200" s="8">
        <f t="shared" si="17"/>
        <v>0</v>
      </c>
      <c r="F200" s="53">
        <v>0.084375058</v>
      </c>
      <c r="G200" s="8">
        <f t="shared" si="16"/>
        <v>0.000002311645425</v>
      </c>
      <c r="H200" s="8">
        <f t="shared" si="11"/>
        <v>3044.31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54">
        <f t="shared" si="12"/>
        <v>43982</v>
      </c>
      <c r="B201" s="8">
        <f t="shared" si="13"/>
        <v>263538187.8</v>
      </c>
      <c r="C201" s="8">
        <f t="shared" si="14"/>
        <v>0.0003493150685</v>
      </c>
      <c r="D201" s="8">
        <v>3044.31</v>
      </c>
      <c r="E201" s="8">
        <f t="shared" si="17"/>
        <v>0</v>
      </c>
      <c r="F201" s="53">
        <v>0.079276875</v>
      </c>
      <c r="G201" s="8">
        <f t="shared" si="16"/>
        <v>0.000002171969178</v>
      </c>
      <c r="H201" s="8">
        <f t="shared" si="11"/>
        <v>3044.31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54">
        <f t="shared" si="12"/>
        <v>43983</v>
      </c>
      <c r="B202" s="8">
        <f t="shared" si="13"/>
        <v>263630245.7</v>
      </c>
      <c r="C202" s="8">
        <f t="shared" si="14"/>
        <v>0.0003493150685</v>
      </c>
      <c r="D202" s="8">
        <v>3055.73</v>
      </c>
      <c r="E202" s="8">
        <f t="shared" si="17"/>
        <v>0.003751260548</v>
      </c>
      <c r="F202" s="53">
        <v>0.109341608</v>
      </c>
      <c r="G202" s="8">
        <f t="shared" si="16"/>
        <v>0.000002995660493</v>
      </c>
      <c r="H202" s="8">
        <f t="shared" si="11"/>
        <v>3055.73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54">
        <f t="shared" si="12"/>
        <v>43984</v>
      </c>
      <c r="B203" s="8">
        <f t="shared" si="13"/>
        <v>263722335.7</v>
      </c>
      <c r="C203" s="8">
        <f t="shared" si="14"/>
        <v>0.0003493150685</v>
      </c>
      <c r="D203" s="8">
        <v>3080.82</v>
      </c>
      <c r="E203" s="8">
        <f t="shared" si="17"/>
        <v>0.008210803965</v>
      </c>
      <c r="F203" s="53">
        <v>0.112483115</v>
      </c>
      <c r="G203" s="8">
        <f t="shared" si="16"/>
        <v>0.000003081729178</v>
      </c>
      <c r="H203" s="8">
        <f t="shared" si="11"/>
        <v>3080.82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54">
        <f t="shared" si="12"/>
        <v>43985</v>
      </c>
      <c r="B204" s="8">
        <f t="shared" si="13"/>
        <v>263814457.9</v>
      </c>
      <c r="C204" s="8">
        <f t="shared" si="14"/>
        <v>0.0003493150685</v>
      </c>
      <c r="D204" s="8">
        <v>3122.87</v>
      </c>
      <c r="E204" s="8">
        <f t="shared" si="17"/>
        <v>0.01364896359</v>
      </c>
      <c r="F204" s="53">
        <v>0.081231621</v>
      </c>
      <c r="G204" s="8">
        <f t="shared" si="16"/>
        <v>0.000002225523863</v>
      </c>
      <c r="H204" s="8">
        <f t="shared" si="11"/>
        <v>3122.87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54">
        <f t="shared" si="12"/>
        <v>43986</v>
      </c>
      <c r="B205" s="8">
        <f t="shared" si="13"/>
        <v>263906612.2</v>
      </c>
      <c r="C205" s="8">
        <f t="shared" si="14"/>
        <v>0.0003493150685</v>
      </c>
      <c r="D205" s="8">
        <v>3112.35</v>
      </c>
      <c r="E205" s="8">
        <f t="shared" si="17"/>
        <v>-0.003368696103</v>
      </c>
      <c r="F205" s="53">
        <v>0.085342784</v>
      </c>
      <c r="G205" s="8">
        <f t="shared" si="16"/>
        <v>0.000002338158466</v>
      </c>
      <c r="H205" s="8">
        <f t="shared" si="11"/>
        <v>3112.35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54">
        <f t="shared" si="12"/>
        <v>43987</v>
      </c>
      <c r="B206" s="8">
        <f t="shared" si="13"/>
        <v>263998798.8</v>
      </c>
      <c r="C206" s="8">
        <f t="shared" si="14"/>
        <v>0.0003493150685</v>
      </c>
      <c r="D206" s="8">
        <v>3193.93</v>
      </c>
      <c r="E206" s="8">
        <f t="shared" si="17"/>
        <v>0.02621170498</v>
      </c>
      <c r="F206" s="53">
        <v>0.091150441</v>
      </c>
      <c r="G206" s="8">
        <f t="shared" si="16"/>
        <v>0.000002497272356</v>
      </c>
      <c r="H206" s="8">
        <f t="shared" si="11"/>
        <v>3193.93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54">
        <f t="shared" si="12"/>
        <v>43988</v>
      </c>
      <c r="B207" s="8">
        <f t="shared" si="13"/>
        <v>264091017.6</v>
      </c>
      <c r="C207" s="8">
        <f t="shared" si="14"/>
        <v>0.0003493150685</v>
      </c>
      <c r="D207" s="8">
        <v>3193.93</v>
      </c>
      <c r="E207" s="8">
        <f t="shared" si="17"/>
        <v>0</v>
      </c>
      <c r="F207" s="53">
        <v>0.101367933</v>
      </c>
      <c r="G207" s="8">
        <f t="shared" si="16"/>
        <v>0.000002777203644</v>
      </c>
      <c r="H207" s="8">
        <f t="shared" si="11"/>
        <v>3193.93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54">
        <f t="shared" si="12"/>
        <v>43989</v>
      </c>
      <c r="B208" s="8">
        <f t="shared" si="13"/>
        <v>264183268.5</v>
      </c>
      <c r="C208" s="8">
        <f t="shared" si="14"/>
        <v>0.0003493150685</v>
      </c>
      <c r="D208" s="8">
        <v>3193.93</v>
      </c>
      <c r="E208" s="8">
        <f t="shared" si="17"/>
        <v>0</v>
      </c>
      <c r="F208" s="53">
        <v>0.096562901</v>
      </c>
      <c r="G208" s="8">
        <f t="shared" si="16"/>
        <v>0.000002645558932</v>
      </c>
      <c r="H208" s="8">
        <f t="shared" si="11"/>
        <v>3193.93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54">
        <f t="shared" si="12"/>
        <v>43990</v>
      </c>
      <c r="B209" s="8">
        <f t="shared" si="13"/>
        <v>264275551.7</v>
      </c>
      <c r="C209" s="8">
        <f t="shared" si="14"/>
        <v>0.0003493150685</v>
      </c>
      <c r="D209" s="8">
        <v>3232.39</v>
      </c>
      <c r="E209" s="8">
        <f t="shared" si="17"/>
        <v>0.01204159139</v>
      </c>
      <c r="F209" s="53">
        <v>0.083839572</v>
      </c>
      <c r="G209" s="8">
        <f t="shared" si="16"/>
        <v>0.000002296974575</v>
      </c>
      <c r="H209" s="8">
        <f t="shared" si="11"/>
        <v>3232.39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54">
        <f t="shared" si="12"/>
        <v>43991</v>
      </c>
      <c r="B210" s="8">
        <f t="shared" si="13"/>
        <v>264367867.2</v>
      </c>
      <c r="C210" s="8">
        <f t="shared" si="14"/>
        <v>0.0003493150685</v>
      </c>
      <c r="D210" s="8">
        <v>3207.18</v>
      </c>
      <c r="E210" s="8">
        <f t="shared" si="17"/>
        <v>-0.007799182648</v>
      </c>
      <c r="F210" s="53">
        <v>0.089804289</v>
      </c>
      <c r="G210" s="8">
        <f t="shared" si="16"/>
        <v>0.000002460391479</v>
      </c>
      <c r="H210" s="8">
        <f t="shared" si="11"/>
        <v>3207.18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54">
        <f t="shared" si="12"/>
        <v>43992</v>
      </c>
      <c r="B211" s="8">
        <f t="shared" si="13"/>
        <v>264460214.8</v>
      </c>
      <c r="C211" s="8">
        <f t="shared" si="14"/>
        <v>0.0003493150685</v>
      </c>
      <c r="D211" s="8">
        <v>3190.14</v>
      </c>
      <c r="E211" s="8">
        <f t="shared" si="17"/>
        <v>-0.005313078779</v>
      </c>
      <c r="F211" s="53">
        <v>0.109548229</v>
      </c>
      <c r="G211" s="8">
        <f t="shared" si="16"/>
        <v>0.000003001321342</v>
      </c>
      <c r="H211" s="8">
        <f t="shared" si="11"/>
        <v>3190.14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54">
        <f t="shared" si="12"/>
        <v>43993</v>
      </c>
      <c r="B212" s="8">
        <f t="shared" si="13"/>
        <v>264552594.8</v>
      </c>
      <c r="C212" s="8">
        <f t="shared" si="14"/>
        <v>0.0003493150685</v>
      </c>
      <c r="D212" s="8">
        <v>3002.1</v>
      </c>
      <c r="E212" s="8">
        <f t="shared" si="17"/>
        <v>-0.05894412157</v>
      </c>
      <c r="F212" s="53">
        <v>0.103141401</v>
      </c>
      <c r="G212" s="8">
        <f t="shared" si="16"/>
        <v>0.000002825791808</v>
      </c>
      <c r="H212" s="8">
        <f t="shared" si="11"/>
        <v>3002.1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54">
        <f t="shared" si="12"/>
        <v>43994</v>
      </c>
      <c r="B213" s="8">
        <f t="shared" si="13"/>
        <v>264645007</v>
      </c>
      <c r="C213" s="8">
        <f t="shared" si="14"/>
        <v>0.0003493150685</v>
      </c>
      <c r="D213" s="8">
        <v>3041.31</v>
      </c>
      <c r="E213" s="8">
        <f t="shared" si="17"/>
        <v>0.0130608574</v>
      </c>
      <c r="F213" s="53">
        <v>0.095341519</v>
      </c>
      <c r="G213" s="8">
        <f t="shared" si="16"/>
        <v>0.000002612096411</v>
      </c>
      <c r="H213" s="8">
        <f t="shared" si="11"/>
        <v>3041.31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54">
        <f t="shared" si="12"/>
        <v>43995</v>
      </c>
      <c r="B214" s="8">
        <f t="shared" si="13"/>
        <v>264737451.5</v>
      </c>
      <c r="C214" s="8">
        <f t="shared" si="14"/>
        <v>0.0003493150685</v>
      </c>
      <c r="D214" s="8">
        <v>3041.31</v>
      </c>
      <c r="E214" s="8">
        <f t="shared" si="17"/>
        <v>0</v>
      </c>
      <c r="F214" s="53">
        <v>0.098567888</v>
      </c>
      <c r="G214" s="8">
        <f t="shared" si="16"/>
        <v>0.000002700490082</v>
      </c>
      <c r="H214" s="8">
        <f t="shared" si="11"/>
        <v>3041.31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54">
        <f t="shared" si="12"/>
        <v>43996</v>
      </c>
      <c r="B215" s="8">
        <f t="shared" si="13"/>
        <v>264829928.3</v>
      </c>
      <c r="C215" s="8">
        <f t="shared" si="14"/>
        <v>0.0003493150685</v>
      </c>
      <c r="D215" s="8">
        <v>3041.31</v>
      </c>
      <c r="E215" s="8">
        <f t="shared" si="17"/>
        <v>0</v>
      </c>
      <c r="F215" s="53">
        <v>0.089219519</v>
      </c>
      <c r="G215" s="8">
        <f t="shared" si="16"/>
        <v>0.000002444370384</v>
      </c>
      <c r="H215" s="8">
        <f t="shared" si="11"/>
        <v>3041.31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54">
        <f t="shared" si="12"/>
        <v>43997</v>
      </c>
      <c r="B216" s="8">
        <f t="shared" si="13"/>
        <v>264922437.3</v>
      </c>
      <c r="C216" s="8">
        <f t="shared" si="14"/>
        <v>0.0003493150685</v>
      </c>
      <c r="D216" s="8">
        <v>3066.59</v>
      </c>
      <c r="E216" s="8">
        <f t="shared" si="17"/>
        <v>0.008312207568</v>
      </c>
      <c r="F216" s="53">
        <v>0.102951379</v>
      </c>
      <c r="G216" s="8">
        <f t="shared" si="16"/>
        <v>0.000002820585726</v>
      </c>
      <c r="H216" s="8">
        <f t="shared" si="11"/>
        <v>3066.59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54">
        <f t="shared" si="12"/>
        <v>43998</v>
      </c>
      <c r="B217" s="8">
        <f t="shared" si="13"/>
        <v>265014978.7</v>
      </c>
      <c r="C217" s="8">
        <f t="shared" si="14"/>
        <v>0.0003493150685</v>
      </c>
      <c r="D217" s="8">
        <v>3124.74</v>
      </c>
      <c r="E217" s="8">
        <f t="shared" si="17"/>
        <v>0.01896243058</v>
      </c>
      <c r="F217" s="53">
        <v>0.111644356</v>
      </c>
      <c r="G217" s="8">
        <f t="shared" si="16"/>
        <v>0.000003058749479</v>
      </c>
      <c r="H217" s="8">
        <f t="shared" si="11"/>
        <v>3124.74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54">
        <f t="shared" si="12"/>
        <v>43999</v>
      </c>
      <c r="B218" s="8">
        <f t="shared" si="13"/>
        <v>265107552.5</v>
      </c>
      <c r="C218" s="8">
        <f t="shared" si="14"/>
        <v>0.0003493150685</v>
      </c>
      <c r="D218" s="8">
        <v>3113.49</v>
      </c>
      <c r="E218" s="8">
        <f t="shared" si="17"/>
        <v>-0.003600299545</v>
      </c>
      <c r="F218" s="53">
        <v>0.09160686</v>
      </c>
      <c r="G218" s="8">
        <f t="shared" si="16"/>
        <v>0.000002509776986</v>
      </c>
      <c r="H218" s="8">
        <f t="shared" si="11"/>
        <v>3113.49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54">
        <f t="shared" si="12"/>
        <v>44000</v>
      </c>
      <c r="B219" s="8">
        <f t="shared" si="13"/>
        <v>265200158.5</v>
      </c>
      <c r="C219" s="8">
        <f t="shared" si="14"/>
        <v>0.0003493150685</v>
      </c>
      <c r="D219" s="8">
        <v>3115.34</v>
      </c>
      <c r="E219" s="8">
        <f t="shared" si="17"/>
        <v>0.0005941885151</v>
      </c>
      <c r="F219" s="53">
        <v>0.11491538</v>
      </c>
      <c r="G219" s="8">
        <f t="shared" si="16"/>
        <v>0.000003148366575</v>
      </c>
      <c r="H219" s="8">
        <f t="shared" si="11"/>
        <v>3115.34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54">
        <f t="shared" si="12"/>
        <v>44001</v>
      </c>
      <c r="B220" s="8">
        <f t="shared" si="13"/>
        <v>265292796.9</v>
      </c>
      <c r="C220" s="8">
        <f t="shared" si="14"/>
        <v>0.0003493150685</v>
      </c>
      <c r="D220" s="8">
        <v>3097.74</v>
      </c>
      <c r="E220" s="8">
        <f t="shared" si="17"/>
        <v>-0.005649463622</v>
      </c>
      <c r="F220" s="53">
        <v>0.098390208</v>
      </c>
      <c r="G220" s="8">
        <f t="shared" si="16"/>
        <v>0.000002695622137</v>
      </c>
      <c r="H220" s="8">
        <f t="shared" si="11"/>
        <v>3097.74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54">
        <f t="shared" si="12"/>
        <v>44002</v>
      </c>
      <c r="B221" s="8">
        <f t="shared" si="13"/>
        <v>265385467.7</v>
      </c>
      <c r="C221" s="8">
        <f t="shared" si="14"/>
        <v>0.0003493150685</v>
      </c>
      <c r="D221" s="8">
        <v>3097.74</v>
      </c>
      <c r="E221" s="8">
        <f t="shared" si="17"/>
        <v>0</v>
      </c>
      <c r="F221" s="53">
        <v>0.096478349</v>
      </c>
      <c r="G221" s="8">
        <f t="shared" si="16"/>
        <v>0.000002643242438</v>
      </c>
      <c r="H221" s="8">
        <f t="shared" si="11"/>
        <v>3097.74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54">
        <f t="shared" si="12"/>
        <v>44003</v>
      </c>
      <c r="B222" s="8">
        <f t="shared" si="13"/>
        <v>265478170.8</v>
      </c>
      <c r="C222" s="8">
        <f t="shared" si="14"/>
        <v>0.0003493150685</v>
      </c>
      <c r="D222" s="8">
        <v>3097.74</v>
      </c>
      <c r="E222" s="8">
        <f t="shared" si="17"/>
        <v>0</v>
      </c>
      <c r="F222" s="53">
        <v>0.095311882</v>
      </c>
      <c r="G222" s="8">
        <f t="shared" si="16"/>
        <v>0.000002611284438</v>
      </c>
      <c r="H222" s="8">
        <f t="shared" si="11"/>
        <v>3097.74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54">
        <f t="shared" si="12"/>
        <v>44004</v>
      </c>
      <c r="B223" s="8">
        <f t="shared" si="13"/>
        <v>265570906.4</v>
      </c>
      <c r="C223" s="8">
        <f t="shared" si="14"/>
        <v>0.0003493150685</v>
      </c>
      <c r="D223" s="8">
        <v>3117.86</v>
      </c>
      <c r="E223" s="8">
        <f t="shared" si="17"/>
        <v>0.006495057687</v>
      </c>
      <c r="F223" s="53">
        <v>0.09946028</v>
      </c>
      <c r="G223" s="8">
        <f t="shared" si="16"/>
        <v>0.000002724939178</v>
      </c>
      <c r="H223" s="8">
        <f t="shared" si="11"/>
        <v>3117.86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54">
        <f t="shared" si="12"/>
        <v>44005</v>
      </c>
      <c r="B224" s="8">
        <f t="shared" si="13"/>
        <v>265663674.3</v>
      </c>
      <c r="C224" s="8">
        <f t="shared" si="14"/>
        <v>0.0003493150685</v>
      </c>
      <c r="D224" s="8">
        <v>3131.29</v>
      </c>
      <c r="E224" s="8">
        <f t="shared" si="17"/>
        <v>0.004307441643</v>
      </c>
      <c r="F224" s="53">
        <v>0.096931262</v>
      </c>
      <c r="G224" s="8">
        <f t="shared" si="16"/>
        <v>0.000002655651014</v>
      </c>
      <c r="H224" s="8">
        <f t="shared" si="11"/>
        <v>3131.29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54">
        <f t="shared" si="12"/>
        <v>44006</v>
      </c>
      <c r="B225" s="8">
        <f t="shared" si="13"/>
        <v>265756474.6</v>
      </c>
      <c r="C225" s="8">
        <f t="shared" si="14"/>
        <v>0.0003493150685</v>
      </c>
      <c r="D225" s="8">
        <v>3050.33</v>
      </c>
      <c r="E225" s="8">
        <f t="shared" si="17"/>
        <v>-0.02585515874</v>
      </c>
      <c r="F225" s="53">
        <v>0.082447615</v>
      </c>
      <c r="G225" s="8">
        <f t="shared" si="16"/>
        <v>0.000002258838767</v>
      </c>
      <c r="H225" s="8">
        <f t="shared" si="11"/>
        <v>3050.33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54">
        <f t="shared" si="12"/>
        <v>44007</v>
      </c>
      <c r="B226" s="8">
        <f t="shared" si="13"/>
        <v>265849307.4</v>
      </c>
      <c r="C226" s="8">
        <f t="shared" si="14"/>
        <v>0.0003493150685</v>
      </c>
      <c r="D226" s="8">
        <v>3083.76</v>
      </c>
      <c r="E226" s="8">
        <f t="shared" si="17"/>
        <v>0.01095946996</v>
      </c>
      <c r="F226" s="53">
        <v>0.095283058</v>
      </c>
      <c r="G226" s="8">
        <f t="shared" si="16"/>
        <v>0.00000261049474</v>
      </c>
      <c r="H226" s="8">
        <f t="shared" si="11"/>
        <v>3083.76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54">
        <f t="shared" si="12"/>
        <v>44008</v>
      </c>
      <c r="B227" s="8">
        <f t="shared" si="13"/>
        <v>265942172.5</v>
      </c>
      <c r="C227" s="8">
        <f t="shared" si="14"/>
        <v>0.0003493150685</v>
      </c>
      <c r="D227" s="8">
        <v>3009.05</v>
      </c>
      <c r="E227" s="8">
        <f t="shared" si="17"/>
        <v>-0.02422691779</v>
      </c>
      <c r="F227" s="53">
        <v>0.081485098</v>
      </c>
      <c r="G227" s="8">
        <f t="shared" si="16"/>
        <v>0.000002232468438</v>
      </c>
      <c r="H227" s="8">
        <f t="shared" si="11"/>
        <v>3009.05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54">
        <f t="shared" si="12"/>
        <v>44009</v>
      </c>
      <c r="B228" s="8">
        <f t="shared" si="13"/>
        <v>266035070.1</v>
      </c>
      <c r="C228" s="8">
        <f t="shared" si="14"/>
        <v>0.0003493150685</v>
      </c>
      <c r="D228" s="8">
        <v>3009.05</v>
      </c>
      <c r="E228" s="8">
        <f t="shared" si="17"/>
        <v>0</v>
      </c>
      <c r="F228" s="53">
        <v>0.106396493</v>
      </c>
      <c r="G228" s="8">
        <f t="shared" si="16"/>
        <v>0.000002914972411</v>
      </c>
      <c r="H228" s="8">
        <f t="shared" si="11"/>
        <v>3009.05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54">
        <f t="shared" si="12"/>
        <v>44010</v>
      </c>
      <c r="B229" s="8">
        <f t="shared" si="13"/>
        <v>266128000.2</v>
      </c>
      <c r="C229" s="8">
        <f t="shared" si="14"/>
        <v>0.0003493150685</v>
      </c>
      <c r="D229" s="8">
        <v>3009.05</v>
      </c>
      <c r="E229" s="8">
        <f t="shared" si="17"/>
        <v>0</v>
      </c>
      <c r="F229" s="53">
        <v>0.108357221</v>
      </c>
      <c r="G229" s="8">
        <f t="shared" si="16"/>
        <v>0.000002968690986</v>
      </c>
      <c r="H229" s="8">
        <f t="shared" si="11"/>
        <v>3009.05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54">
        <f t="shared" si="12"/>
        <v>44011</v>
      </c>
      <c r="B230" s="8">
        <f t="shared" si="13"/>
        <v>266220962.7</v>
      </c>
      <c r="C230" s="8">
        <f t="shared" si="14"/>
        <v>0.0003493150685</v>
      </c>
      <c r="D230" s="8">
        <v>3053.24</v>
      </c>
      <c r="E230" s="8">
        <f t="shared" si="17"/>
        <v>0.01468569814</v>
      </c>
      <c r="F230" s="53">
        <v>0.085654823</v>
      </c>
      <c r="G230" s="8">
        <f t="shared" si="16"/>
        <v>0.000002346707479</v>
      </c>
      <c r="H230" s="8">
        <f t="shared" si="11"/>
        <v>3053.24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54">
        <f t="shared" si="12"/>
        <v>44012</v>
      </c>
      <c r="B231" s="8">
        <f t="shared" si="13"/>
        <v>266313957.7</v>
      </c>
      <c r="C231" s="8">
        <f t="shared" si="14"/>
        <v>0.0003493150685</v>
      </c>
      <c r="D231" s="8">
        <v>3100.29</v>
      </c>
      <c r="E231" s="8">
        <f t="shared" si="17"/>
        <v>0.01540985969</v>
      </c>
      <c r="F231" s="53">
        <v>0.09422718</v>
      </c>
      <c r="G231" s="8">
        <f t="shared" si="16"/>
        <v>0.000002581566575</v>
      </c>
      <c r="H231" s="8">
        <f t="shared" si="11"/>
        <v>3100.29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54">
        <f t="shared" si="12"/>
        <v>44013</v>
      </c>
      <c r="B232" s="8">
        <f t="shared" si="13"/>
        <v>266406985.2</v>
      </c>
      <c r="C232" s="8">
        <f t="shared" si="14"/>
        <v>0.0003493150685</v>
      </c>
      <c r="D232" s="8">
        <v>3115.86</v>
      </c>
      <c r="E232" s="8">
        <f t="shared" si="17"/>
        <v>0.005022110835</v>
      </c>
      <c r="F232" s="53">
        <v>0.106627288</v>
      </c>
      <c r="G232" s="8">
        <f t="shared" si="16"/>
        <v>0.000002921295562</v>
      </c>
      <c r="H232" s="8">
        <f t="shared" si="11"/>
        <v>3115.86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54">
        <f t="shared" si="12"/>
        <v>44014</v>
      </c>
      <c r="B233" s="8">
        <f t="shared" si="13"/>
        <v>266500045.2</v>
      </c>
      <c r="C233" s="8">
        <f t="shared" si="14"/>
        <v>0.0003493150685</v>
      </c>
      <c r="D233" s="8">
        <v>3130.01</v>
      </c>
      <c r="E233" s="8">
        <f t="shared" si="17"/>
        <v>0.004541282343</v>
      </c>
      <c r="F233" s="53">
        <v>0.104840757</v>
      </c>
      <c r="G233" s="8">
        <f t="shared" si="16"/>
        <v>0.000002872349507</v>
      </c>
      <c r="H233" s="8">
        <f t="shared" si="11"/>
        <v>3130.01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54">
        <f t="shared" si="12"/>
        <v>44015</v>
      </c>
      <c r="B234" s="8">
        <f t="shared" si="13"/>
        <v>266593137.6</v>
      </c>
      <c r="C234" s="8">
        <f t="shared" si="14"/>
        <v>0.0003493150685</v>
      </c>
      <c r="D234" s="8">
        <v>3130.01</v>
      </c>
      <c r="E234" s="8">
        <f t="shared" si="17"/>
        <v>0</v>
      </c>
      <c r="F234" s="53">
        <v>0.093232289</v>
      </c>
      <c r="G234" s="8">
        <f t="shared" si="16"/>
        <v>0.000002554309288</v>
      </c>
      <c r="H234" s="8">
        <f t="shared" si="11"/>
        <v>3130.01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54">
        <f t="shared" si="12"/>
        <v>44016</v>
      </c>
      <c r="B235" s="8">
        <f t="shared" si="13"/>
        <v>266686262.6</v>
      </c>
      <c r="C235" s="8">
        <f t="shared" si="14"/>
        <v>0.0003493150685</v>
      </c>
      <c r="D235" s="8">
        <v>3130.01</v>
      </c>
      <c r="E235" s="8">
        <f t="shared" si="17"/>
        <v>0</v>
      </c>
      <c r="F235" s="53">
        <v>0.114458009</v>
      </c>
      <c r="G235" s="8">
        <f t="shared" si="16"/>
        <v>0.000003135835863</v>
      </c>
      <c r="H235" s="8">
        <f t="shared" si="11"/>
        <v>3130.01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54">
        <f t="shared" si="12"/>
        <v>44017</v>
      </c>
      <c r="B236" s="8">
        <f t="shared" si="13"/>
        <v>266779420.2</v>
      </c>
      <c r="C236" s="8">
        <f t="shared" si="14"/>
        <v>0.0003493150685</v>
      </c>
      <c r="D236" s="8">
        <v>3130.01</v>
      </c>
      <c r="E236" s="8">
        <f t="shared" si="17"/>
        <v>0</v>
      </c>
      <c r="F236" s="53">
        <v>0.106836953</v>
      </c>
      <c r="G236" s="8">
        <f t="shared" si="16"/>
        <v>0.000002927039808</v>
      </c>
      <c r="H236" s="8">
        <f t="shared" si="11"/>
        <v>3130.01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54">
        <f t="shared" si="12"/>
        <v>44018</v>
      </c>
      <c r="B237" s="8">
        <f t="shared" si="13"/>
        <v>266872610.2</v>
      </c>
      <c r="C237" s="8">
        <f t="shared" si="14"/>
        <v>0.0003493150685</v>
      </c>
      <c r="D237" s="8">
        <v>3179.72</v>
      </c>
      <c r="E237" s="8">
        <f t="shared" si="17"/>
        <v>0.0158817384</v>
      </c>
      <c r="F237" s="53">
        <v>0.105631377</v>
      </c>
      <c r="G237" s="8">
        <f t="shared" si="16"/>
        <v>0.000002894010329</v>
      </c>
      <c r="H237" s="8">
        <f t="shared" si="11"/>
        <v>3179.72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54">
        <f t="shared" si="12"/>
        <v>44019</v>
      </c>
      <c r="B238" s="8">
        <f t="shared" si="13"/>
        <v>266965832.9</v>
      </c>
      <c r="C238" s="8">
        <f t="shared" si="14"/>
        <v>0.0003493150685</v>
      </c>
      <c r="D238" s="8">
        <v>3145.32</v>
      </c>
      <c r="E238" s="8">
        <f t="shared" si="17"/>
        <v>-0.01081856264</v>
      </c>
      <c r="F238" s="53">
        <v>0.097332934</v>
      </c>
      <c r="G238" s="8">
        <f t="shared" si="16"/>
        <v>0.000002666655726</v>
      </c>
      <c r="H238" s="8">
        <f t="shared" si="11"/>
        <v>3145.32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54">
        <f t="shared" si="12"/>
        <v>44020</v>
      </c>
      <c r="B239" s="8">
        <f t="shared" si="13"/>
        <v>267059088.1</v>
      </c>
      <c r="C239" s="8">
        <f t="shared" si="14"/>
        <v>0.0003493150685</v>
      </c>
      <c r="D239" s="8">
        <v>3169.94</v>
      </c>
      <c r="E239" s="8">
        <f t="shared" si="17"/>
        <v>0.007827502448</v>
      </c>
      <c r="F239" s="53">
        <v>0.099032132</v>
      </c>
      <c r="G239" s="8">
        <f t="shared" si="16"/>
        <v>0.000002713209096</v>
      </c>
      <c r="H239" s="8">
        <f t="shared" si="11"/>
        <v>3169.94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54">
        <f t="shared" si="12"/>
        <v>44021</v>
      </c>
      <c r="B240" s="8">
        <f t="shared" si="13"/>
        <v>267152375.8</v>
      </c>
      <c r="C240" s="8">
        <f t="shared" si="14"/>
        <v>0.0003493150685</v>
      </c>
      <c r="D240" s="8">
        <v>3152.05</v>
      </c>
      <c r="E240" s="8">
        <f t="shared" si="17"/>
        <v>-0.005643639943</v>
      </c>
      <c r="F240" s="53">
        <v>0.088015577</v>
      </c>
      <c r="G240" s="8">
        <f t="shared" si="16"/>
        <v>0.000002411385671</v>
      </c>
      <c r="H240" s="8">
        <f t="shared" si="11"/>
        <v>3152.05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54">
        <f t="shared" si="12"/>
        <v>44022</v>
      </c>
      <c r="B241" s="8">
        <f t="shared" si="13"/>
        <v>267245696.2</v>
      </c>
      <c r="C241" s="8">
        <f t="shared" si="14"/>
        <v>0.0003493150685</v>
      </c>
      <c r="D241" s="8">
        <v>3185.04</v>
      </c>
      <c r="E241" s="8">
        <f t="shared" si="17"/>
        <v>0.01046620453</v>
      </c>
      <c r="F241" s="53">
        <v>0.108935987</v>
      </c>
      <c r="G241" s="8">
        <f t="shared" si="16"/>
        <v>0.000002984547589</v>
      </c>
      <c r="H241" s="8">
        <f t="shared" si="11"/>
        <v>3185.04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54">
        <f t="shared" si="12"/>
        <v>44023</v>
      </c>
      <c r="B242" s="8">
        <f t="shared" si="13"/>
        <v>267339049.1</v>
      </c>
      <c r="C242" s="8">
        <f t="shared" si="14"/>
        <v>0.0003493150685</v>
      </c>
      <c r="D242" s="8">
        <v>3185.04</v>
      </c>
      <c r="E242" s="8">
        <f t="shared" si="17"/>
        <v>0</v>
      </c>
      <c r="F242" s="53">
        <v>0.089745063</v>
      </c>
      <c r="G242" s="8">
        <f t="shared" si="16"/>
        <v>0.000002458768849</v>
      </c>
      <c r="H242" s="8">
        <f t="shared" si="11"/>
        <v>3185.04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54">
        <f t="shared" si="12"/>
        <v>44024</v>
      </c>
      <c r="B243" s="8">
        <f t="shared" si="13"/>
        <v>267432434.7</v>
      </c>
      <c r="C243" s="8">
        <f t="shared" si="14"/>
        <v>0.0003493150685</v>
      </c>
      <c r="D243" s="8">
        <v>3185.04</v>
      </c>
      <c r="E243" s="8">
        <f t="shared" si="17"/>
        <v>0</v>
      </c>
      <c r="F243" s="53">
        <v>0.096692565</v>
      </c>
      <c r="G243" s="8">
        <f t="shared" si="16"/>
        <v>0.00000264911137</v>
      </c>
      <c r="H243" s="8">
        <f t="shared" si="11"/>
        <v>3185.04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54">
        <f t="shared" si="12"/>
        <v>44025</v>
      </c>
      <c r="B244" s="8">
        <f t="shared" si="13"/>
        <v>267525852.9</v>
      </c>
      <c r="C244" s="8">
        <f t="shared" si="14"/>
        <v>0.0003493150685</v>
      </c>
      <c r="D244" s="8">
        <v>3155.22</v>
      </c>
      <c r="E244" s="8">
        <f t="shared" si="17"/>
        <v>-0.00936251978</v>
      </c>
      <c r="F244" s="53">
        <v>0.090887038</v>
      </c>
      <c r="G244" s="8">
        <f t="shared" si="16"/>
        <v>0.000002490055836</v>
      </c>
      <c r="H244" s="8">
        <f t="shared" si="11"/>
        <v>3155.22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54">
        <f t="shared" si="12"/>
        <v>44026</v>
      </c>
      <c r="B245" s="8">
        <f t="shared" si="13"/>
        <v>267619303.7</v>
      </c>
      <c r="C245" s="8">
        <f t="shared" si="14"/>
        <v>0.0003493150685</v>
      </c>
      <c r="D245" s="8">
        <v>3197.52</v>
      </c>
      <c r="E245" s="8">
        <f t="shared" si="17"/>
        <v>0.01340635518</v>
      </c>
      <c r="F245" s="53">
        <v>0.113665385</v>
      </c>
      <c r="G245" s="8">
        <f t="shared" si="16"/>
        <v>0.000003114120137</v>
      </c>
      <c r="H245" s="8">
        <f t="shared" si="11"/>
        <v>3197.52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54">
        <f t="shared" si="12"/>
        <v>44027</v>
      </c>
      <c r="B246" s="8">
        <f t="shared" si="13"/>
        <v>267712787.1</v>
      </c>
      <c r="C246" s="8">
        <f t="shared" si="14"/>
        <v>0.0003493150685</v>
      </c>
      <c r="D246" s="8">
        <v>3226.56</v>
      </c>
      <c r="E246" s="8">
        <f t="shared" si="17"/>
        <v>0.00908203858</v>
      </c>
      <c r="F246" s="53">
        <v>0.088724888</v>
      </c>
      <c r="G246" s="8">
        <f t="shared" si="16"/>
        <v>0.000002430818849</v>
      </c>
      <c r="H246" s="8">
        <f t="shared" si="11"/>
        <v>3226.56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54">
        <f t="shared" si="12"/>
        <v>44028</v>
      </c>
      <c r="B247" s="8">
        <f t="shared" si="13"/>
        <v>267806303.2</v>
      </c>
      <c r="C247" s="8">
        <f t="shared" si="14"/>
        <v>0.0003493150685</v>
      </c>
      <c r="D247" s="8">
        <v>3215.57</v>
      </c>
      <c r="E247" s="8">
        <f t="shared" si="17"/>
        <v>-0.003406104334</v>
      </c>
      <c r="F247" s="53">
        <v>0.101052023</v>
      </c>
      <c r="G247" s="8">
        <f t="shared" si="16"/>
        <v>0.000002768548575</v>
      </c>
      <c r="H247" s="8">
        <f t="shared" si="11"/>
        <v>3215.57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54">
        <f t="shared" si="12"/>
        <v>44029</v>
      </c>
      <c r="B248" s="8">
        <f t="shared" si="13"/>
        <v>267899852</v>
      </c>
      <c r="C248" s="8">
        <f t="shared" si="14"/>
        <v>0.0003493150685</v>
      </c>
      <c r="D248" s="8">
        <v>3224.73</v>
      </c>
      <c r="E248" s="8">
        <f t="shared" si="17"/>
        <v>0.002848639588</v>
      </c>
      <c r="F248" s="53">
        <v>0.089064341</v>
      </c>
      <c r="G248" s="8">
        <f t="shared" si="16"/>
        <v>0.000002440118932</v>
      </c>
      <c r="H248" s="8">
        <f t="shared" si="11"/>
        <v>3224.73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54">
        <f t="shared" si="12"/>
        <v>44030</v>
      </c>
      <c r="B249" s="8">
        <f t="shared" si="13"/>
        <v>267993433.5</v>
      </c>
      <c r="C249" s="8">
        <f t="shared" si="14"/>
        <v>0.0003493150685</v>
      </c>
      <c r="D249" s="8">
        <v>3224.73</v>
      </c>
      <c r="E249" s="8">
        <f t="shared" si="17"/>
        <v>0</v>
      </c>
      <c r="F249" s="53">
        <v>0.101428981</v>
      </c>
      <c r="G249" s="8">
        <f t="shared" si="16"/>
        <v>0.000002778876192</v>
      </c>
      <c r="H249" s="8">
        <f t="shared" si="11"/>
        <v>3224.73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54">
        <f t="shared" si="12"/>
        <v>44031</v>
      </c>
      <c r="B250" s="8">
        <f t="shared" si="13"/>
        <v>268087047.6</v>
      </c>
      <c r="C250" s="8">
        <f t="shared" si="14"/>
        <v>0.0003493150685</v>
      </c>
      <c r="D250" s="8">
        <v>3224.73</v>
      </c>
      <c r="E250" s="8">
        <f t="shared" si="17"/>
        <v>0</v>
      </c>
      <c r="F250" s="53">
        <v>0.111460155</v>
      </c>
      <c r="G250" s="8">
        <f t="shared" si="16"/>
        <v>0.000003053702877</v>
      </c>
      <c r="H250" s="8">
        <f t="shared" si="11"/>
        <v>3224.73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54">
        <f t="shared" si="12"/>
        <v>44032</v>
      </c>
      <c r="B251" s="8">
        <f t="shared" si="13"/>
        <v>268180694.5</v>
      </c>
      <c r="C251" s="8">
        <f t="shared" si="14"/>
        <v>0.0003493150685</v>
      </c>
      <c r="D251" s="8">
        <v>3251.84</v>
      </c>
      <c r="E251" s="8">
        <f t="shared" si="17"/>
        <v>0.008406905384</v>
      </c>
      <c r="F251" s="53">
        <v>0.094155343</v>
      </c>
      <c r="G251" s="8">
        <f t="shared" si="16"/>
        <v>0.000002579598438</v>
      </c>
      <c r="H251" s="8">
        <f t="shared" si="11"/>
        <v>3251.84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54">
        <f t="shared" si="12"/>
        <v>44033</v>
      </c>
      <c r="B252" s="8">
        <f t="shared" si="13"/>
        <v>268274374</v>
      </c>
      <c r="C252" s="8">
        <f t="shared" si="14"/>
        <v>0.0003493150685</v>
      </c>
      <c r="D252" s="8">
        <v>3257.3</v>
      </c>
      <c r="E252" s="8">
        <f t="shared" si="17"/>
        <v>0.0016790494</v>
      </c>
      <c r="F252" s="53">
        <v>0.081140355</v>
      </c>
      <c r="G252" s="8">
        <f t="shared" si="16"/>
        <v>0.000002223023425</v>
      </c>
      <c r="H252" s="8">
        <f t="shared" si="11"/>
        <v>3257.3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54">
        <f t="shared" si="12"/>
        <v>44034</v>
      </c>
      <c r="B253" s="8">
        <f t="shared" si="13"/>
        <v>268368086.3</v>
      </c>
      <c r="C253" s="8">
        <f t="shared" si="14"/>
        <v>0.0003493150685</v>
      </c>
      <c r="D253" s="8">
        <v>3276.02</v>
      </c>
      <c r="E253" s="8">
        <f t="shared" si="17"/>
        <v>0.005747091149</v>
      </c>
      <c r="F253" s="53">
        <v>0.114462131</v>
      </c>
      <c r="G253" s="8">
        <f t="shared" si="16"/>
        <v>0.000003135948795</v>
      </c>
      <c r="H253" s="8">
        <f t="shared" si="11"/>
        <v>3276.02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54">
        <f t="shared" si="12"/>
        <v>44035</v>
      </c>
      <c r="B254" s="8">
        <f t="shared" si="13"/>
        <v>268461831.3</v>
      </c>
      <c r="C254" s="8">
        <f t="shared" si="14"/>
        <v>0.0003493150685</v>
      </c>
      <c r="D254" s="8">
        <v>3235.66</v>
      </c>
      <c r="E254" s="8">
        <f t="shared" si="17"/>
        <v>-0.01231982711</v>
      </c>
      <c r="F254" s="53">
        <v>0.084900048</v>
      </c>
      <c r="G254" s="8">
        <f t="shared" si="16"/>
        <v>0.000002326028712</v>
      </c>
      <c r="H254" s="8">
        <f t="shared" si="11"/>
        <v>3235.66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54">
        <f t="shared" si="12"/>
        <v>44036</v>
      </c>
      <c r="B255" s="8">
        <f t="shared" si="13"/>
        <v>268555609.1</v>
      </c>
      <c r="C255" s="8">
        <f t="shared" si="14"/>
        <v>0.0003493150685</v>
      </c>
      <c r="D255" s="8">
        <v>3215.63</v>
      </c>
      <c r="E255" s="8">
        <f t="shared" si="17"/>
        <v>-0.006190390832</v>
      </c>
      <c r="F255" s="53">
        <v>0.095715979</v>
      </c>
      <c r="G255" s="8">
        <f t="shared" si="16"/>
        <v>0.000002622355589</v>
      </c>
      <c r="H255" s="8">
        <f t="shared" si="11"/>
        <v>3215.63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54">
        <f t="shared" si="12"/>
        <v>44037</v>
      </c>
      <c r="B256" s="8">
        <f t="shared" si="13"/>
        <v>268649419.6</v>
      </c>
      <c r="C256" s="8">
        <f t="shared" si="14"/>
        <v>0.0003493150685</v>
      </c>
      <c r="D256" s="8">
        <v>3215.63</v>
      </c>
      <c r="E256" s="8">
        <f t="shared" si="17"/>
        <v>0</v>
      </c>
      <c r="F256" s="53">
        <v>0.094394073</v>
      </c>
      <c r="G256" s="8">
        <f t="shared" si="16"/>
        <v>0.000002586138986</v>
      </c>
      <c r="H256" s="8">
        <f t="shared" si="11"/>
        <v>3215.63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54">
        <f t="shared" si="12"/>
        <v>44038</v>
      </c>
      <c r="B257" s="8">
        <f t="shared" si="13"/>
        <v>268743262.9</v>
      </c>
      <c r="C257" s="8">
        <f t="shared" si="14"/>
        <v>0.0003493150685</v>
      </c>
      <c r="D257" s="8">
        <v>3215.63</v>
      </c>
      <c r="E257" s="8">
        <f t="shared" si="17"/>
        <v>0</v>
      </c>
      <c r="F257" s="53">
        <v>0.11066595</v>
      </c>
      <c r="G257" s="8">
        <f t="shared" si="16"/>
        <v>0.000003031943836</v>
      </c>
      <c r="H257" s="8">
        <f t="shared" si="11"/>
        <v>3215.63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54">
        <f t="shared" si="12"/>
        <v>44039</v>
      </c>
      <c r="B258" s="8">
        <f t="shared" si="13"/>
        <v>268837139</v>
      </c>
      <c r="C258" s="8">
        <f t="shared" si="14"/>
        <v>0.0003493150685</v>
      </c>
      <c r="D258" s="8">
        <v>3239.41</v>
      </c>
      <c r="E258" s="8">
        <f t="shared" si="17"/>
        <v>0.007395129415</v>
      </c>
      <c r="F258" s="53">
        <v>0.092841146</v>
      </c>
      <c r="G258" s="8">
        <f t="shared" si="16"/>
        <v>0.000002543593041</v>
      </c>
      <c r="H258" s="8">
        <f t="shared" si="11"/>
        <v>3239.41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54">
        <f t="shared" si="12"/>
        <v>44040</v>
      </c>
      <c r="B259" s="8">
        <f t="shared" si="13"/>
        <v>268931047.8</v>
      </c>
      <c r="C259" s="8">
        <f t="shared" si="14"/>
        <v>0.0003493150685</v>
      </c>
      <c r="D259" s="8">
        <v>3218.44</v>
      </c>
      <c r="E259" s="8">
        <f t="shared" si="17"/>
        <v>-0.006473401021</v>
      </c>
      <c r="F259" s="53">
        <v>0.073013716</v>
      </c>
      <c r="G259" s="8">
        <f t="shared" si="16"/>
        <v>0.000002000375781</v>
      </c>
      <c r="H259" s="8">
        <f t="shared" si="11"/>
        <v>3218.44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54">
        <f t="shared" si="12"/>
        <v>44041</v>
      </c>
      <c r="B260" s="8">
        <f t="shared" si="13"/>
        <v>269024989.5</v>
      </c>
      <c r="C260" s="8">
        <f t="shared" si="14"/>
        <v>0.0003493150685</v>
      </c>
      <c r="D260" s="8">
        <v>3258.44</v>
      </c>
      <c r="E260" s="8">
        <f t="shared" si="17"/>
        <v>0.01242838145</v>
      </c>
      <c r="F260" s="53">
        <v>0.10654411</v>
      </c>
      <c r="G260" s="8">
        <f t="shared" si="16"/>
        <v>0.000002919016712</v>
      </c>
      <c r="H260" s="8">
        <f t="shared" si="11"/>
        <v>3258.44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54">
        <f t="shared" si="12"/>
        <v>44042</v>
      </c>
      <c r="B261" s="8">
        <f t="shared" si="13"/>
        <v>269118964</v>
      </c>
      <c r="C261" s="8">
        <f t="shared" si="14"/>
        <v>0.0003493150685</v>
      </c>
      <c r="D261" s="8">
        <v>3246.22</v>
      </c>
      <c r="E261" s="8">
        <f t="shared" si="17"/>
        <v>-0.003750260861</v>
      </c>
      <c r="F261" s="53">
        <v>0.105364624</v>
      </c>
      <c r="G261" s="8">
        <f t="shared" si="16"/>
        <v>0.000002886702027</v>
      </c>
      <c r="H261" s="8">
        <f t="shared" si="11"/>
        <v>3246.22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54">
        <f t="shared" si="12"/>
        <v>44043</v>
      </c>
      <c r="B262" s="8">
        <f t="shared" si="13"/>
        <v>269212971.3</v>
      </c>
      <c r="C262" s="8">
        <f t="shared" si="14"/>
        <v>0.0003493150685</v>
      </c>
      <c r="D262" s="8">
        <v>3271.12</v>
      </c>
      <c r="E262" s="8">
        <f t="shared" si="17"/>
        <v>0.007670459796</v>
      </c>
      <c r="F262" s="53">
        <v>0.101850214</v>
      </c>
      <c r="G262" s="8">
        <f t="shared" si="16"/>
        <v>0.000002790416822</v>
      </c>
      <c r="H262" s="8">
        <f t="shared" si="11"/>
        <v>3271.12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54">
        <f t="shared" si="12"/>
        <v>44044</v>
      </c>
      <c r="B263" s="8">
        <f t="shared" si="13"/>
        <v>269307011.4</v>
      </c>
      <c r="C263" s="8">
        <f t="shared" si="14"/>
        <v>0.0003493150685</v>
      </c>
      <c r="D263" s="8">
        <v>3271.12</v>
      </c>
      <c r="E263" s="8">
        <f t="shared" si="17"/>
        <v>0</v>
      </c>
      <c r="F263" s="53">
        <v>0.106741899</v>
      </c>
      <c r="G263" s="8">
        <f t="shared" si="16"/>
        <v>0.000002924435589</v>
      </c>
      <c r="H263" s="8">
        <f t="shared" si="11"/>
        <v>3271.12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54">
        <f t="shared" si="12"/>
        <v>44045</v>
      </c>
      <c r="B264" s="8">
        <f t="shared" si="13"/>
        <v>269401084.4</v>
      </c>
      <c r="C264" s="8">
        <f t="shared" si="14"/>
        <v>0.0003493150685</v>
      </c>
      <c r="D264" s="8">
        <v>3271.12</v>
      </c>
      <c r="E264" s="8">
        <f t="shared" si="17"/>
        <v>0</v>
      </c>
      <c r="F264" s="53">
        <v>0.103325185</v>
      </c>
      <c r="G264" s="8">
        <f t="shared" si="16"/>
        <v>0.000002830826986</v>
      </c>
      <c r="H264" s="8">
        <f t="shared" si="11"/>
        <v>3271.12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54">
        <f t="shared" si="12"/>
        <v>44046</v>
      </c>
      <c r="B265" s="8">
        <f t="shared" si="13"/>
        <v>269495190.3</v>
      </c>
      <c r="C265" s="8">
        <f t="shared" si="14"/>
        <v>0.0003493150685</v>
      </c>
      <c r="D265" s="8">
        <v>3294.61</v>
      </c>
      <c r="E265" s="8">
        <f t="shared" si="17"/>
        <v>0.007181026682</v>
      </c>
      <c r="F265" s="53">
        <v>0.096291679</v>
      </c>
      <c r="G265" s="8">
        <f t="shared" si="16"/>
        <v>0.000002638128192</v>
      </c>
      <c r="H265" s="8">
        <f t="shared" si="11"/>
        <v>3294.61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54">
        <f t="shared" si="12"/>
        <v>44047</v>
      </c>
      <c r="B266" s="8">
        <f t="shared" si="13"/>
        <v>269589329</v>
      </c>
      <c r="C266" s="8">
        <f t="shared" si="14"/>
        <v>0.0003493150685</v>
      </c>
      <c r="D266" s="8">
        <v>3306.51</v>
      </c>
      <c r="E266" s="8">
        <f t="shared" si="17"/>
        <v>0.003611960141</v>
      </c>
      <c r="F266" s="53">
        <v>0.099303711</v>
      </c>
      <c r="G266" s="8">
        <f t="shared" si="16"/>
        <v>0.000002720649616</v>
      </c>
      <c r="H266" s="8">
        <f t="shared" si="11"/>
        <v>3306.51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54">
        <f t="shared" si="12"/>
        <v>44048</v>
      </c>
      <c r="B267" s="8">
        <f t="shared" si="13"/>
        <v>269683500.6</v>
      </c>
      <c r="C267" s="8">
        <f t="shared" si="14"/>
        <v>0.0003493150685</v>
      </c>
      <c r="D267" s="8">
        <v>3327.77</v>
      </c>
      <c r="E267" s="8">
        <f t="shared" si="17"/>
        <v>0.006429740119</v>
      </c>
      <c r="F267" s="53">
        <v>0.113574404</v>
      </c>
      <c r="G267" s="8">
        <f t="shared" si="16"/>
        <v>0.000003111627507</v>
      </c>
      <c r="H267" s="8">
        <f t="shared" si="11"/>
        <v>3327.77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54">
        <f t="shared" si="12"/>
        <v>44049</v>
      </c>
      <c r="B268" s="8">
        <f t="shared" si="13"/>
        <v>269777705.1</v>
      </c>
      <c r="C268" s="8">
        <f t="shared" si="14"/>
        <v>0.0003493150685</v>
      </c>
      <c r="D268" s="8">
        <v>3349.16</v>
      </c>
      <c r="E268" s="8">
        <f t="shared" si="17"/>
        <v>0.006427727878</v>
      </c>
      <c r="F268" s="53">
        <v>0.09083451</v>
      </c>
      <c r="G268" s="8">
        <f t="shared" si="16"/>
        <v>0.000002488616712</v>
      </c>
      <c r="H268" s="8">
        <f t="shared" si="11"/>
        <v>3349.16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54">
        <f t="shared" si="12"/>
        <v>44050</v>
      </c>
      <c r="B269" s="8">
        <f t="shared" si="13"/>
        <v>269871942.6</v>
      </c>
      <c r="C269" s="8">
        <f t="shared" si="14"/>
        <v>0.0003493150685</v>
      </c>
      <c r="D269" s="8">
        <v>3351.28</v>
      </c>
      <c r="E269" s="8">
        <f t="shared" si="17"/>
        <v>0.0006329945419</v>
      </c>
      <c r="F269" s="53">
        <v>0.099512863</v>
      </c>
      <c r="G269" s="8">
        <f t="shared" si="16"/>
        <v>0.000002726379808</v>
      </c>
      <c r="H269" s="8">
        <f t="shared" si="11"/>
        <v>3351.28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54">
        <f t="shared" si="12"/>
        <v>44051</v>
      </c>
      <c r="B270" s="8">
        <f t="shared" si="13"/>
        <v>269966212.9</v>
      </c>
      <c r="C270" s="8">
        <f t="shared" si="14"/>
        <v>0.0003493150685</v>
      </c>
      <c r="D270" s="8">
        <v>3351.28</v>
      </c>
      <c r="E270" s="8">
        <f t="shared" si="17"/>
        <v>0</v>
      </c>
      <c r="F270" s="53">
        <v>0.097646768</v>
      </c>
      <c r="G270" s="8">
        <f t="shared" si="16"/>
        <v>0.000002675253918</v>
      </c>
      <c r="H270" s="8">
        <f t="shared" si="11"/>
        <v>3351.28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54">
        <f t="shared" si="12"/>
        <v>44052</v>
      </c>
      <c r="B271" s="8">
        <f t="shared" si="13"/>
        <v>270060516.2</v>
      </c>
      <c r="C271" s="8">
        <f t="shared" si="14"/>
        <v>0.0003493150685</v>
      </c>
      <c r="D271" s="8">
        <v>3351.28</v>
      </c>
      <c r="E271" s="8">
        <f t="shared" si="17"/>
        <v>0</v>
      </c>
      <c r="F271" s="53">
        <v>0.094473262</v>
      </c>
      <c r="G271" s="8">
        <f t="shared" si="16"/>
        <v>0.000002588308548</v>
      </c>
      <c r="H271" s="8">
        <f t="shared" si="11"/>
        <v>3351.28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54">
        <f t="shared" si="12"/>
        <v>44053</v>
      </c>
      <c r="B272" s="8">
        <f t="shared" si="13"/>
        <v>270154852.4</v>
      </c>
      <c r="C272" s="8">
        <f t="shared" si="14"/>
        <v>0.0003493150685</v>
      </c>
      <c r="D272" s="8">
        <v>3360.47</v>
      </c>
      <c r="E272" s="8">
        <f t="shared" si="17"/>
        <v>0.002742235802</v>
      </c>
      <c r="F272" s="53">
        <v>0.09615804</v>
      </c>
      <c r="G272" s="8">
        <f t="shared" si="16"/>
        <v>0.000002634466849</v>
      </c>
      <c r="H272" s="8">
        <f t="shared" si="11"/>
        <v>3360.47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54">
        <f t="shared" si="12"/>
        <v>44054</v>
      </c>
      <c r="B273" s="8">
        <f t="shared" si="13"/>
        <v>270249221.5</v>
      </c>
      <c r="C273" s="8">
        <f t="shared" si="14"/>
        <v>0.0003493150685</v>
      </c>
      <c r="D273" s="8">
        <v>3333.69</v>
      </c>
      <c r="E273" s="8">
        <f t="shared" si="17"/>
        <v>-0.007969123367</v>
      </c>
      <c r="F273" s="53">
        <v>0.100574492</v>
      </c>
      <c r="G273" s="8">
        <f t="shared" si="16"/>
        <v>0.000002755465534</v>
      </c>
      <c r="H273" s="8">
        <f t="shared" si="11"/>
        <v>3333.69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54">
        <f t="shared" si="12"/>
        <v>44055</v>
      </c>
      <c r="B274" s="8">
        <f t="shared" si="13"/>
        <v>270343623.7</v>
      </c>
      <c r="C274" s="8">
        <f t="shared" si="14"/>
        <v>0.0003493150685</v>
      </c>
      <c r="D274" s="8">
        <v>3380.35</v>
      </c>
      <c r="E274" s="8">
        <f t="shared" si="17"/>
        <v>0.01399650237</v>
      </c>
      <c r="F274" s="53">
        <v>0.099932074</v>
      </c>
      <c r="G274" s="8">
        <f t="shared" si="16"/>
        <v>0.000002737865041</v>
      </c>
      <c r="H274" s="8">
        <f t="shared" si="11"/>
        <v>3380.35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54">
        <f t="shared" si="12"/>
        <v>44056</v>
      </c>
      <c r="B275" s="8">
        <f t="shared" si="13"/>
        <v>270438058.8</v>
      </c>
      <c r="C275" s="8">
        <f t="shared" si="14"/>
        <v>0.0003493150685</v>
      </c>
      <c r="D275" s="8">
        <v>3373.43</v>
      </c>
      <c r="E275" s="8">
        <f t="shared" si="17"/>
        <v>-0.002047125298</v>
      </c>
      <c r="F275" s="53">
        <v>0.101871422</v>
      </c>
      <c r="G275" s="8">
        <f t="shared" si="16"/>
        <v>0.000002790997863</v>
      </c>
      <c r="H275" s="8">
        <f t="shared" si="11"/>
        <v>3373.43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54">
        <f t="shared" si="12"/>
        <v>44057</v>
      </c>
      <c r="B276" s="8">
        <f t="shared" si="13"/>
        <v>270532526.8</v>
      </c>
      <c r="C276" s="8">
        <f t="shared" si="14"/>
        <v>0.0003493150685</v>
      </c>
      <c r="D276" s="8">
        <v>3372.85</v>
      </c>
      <c r="E276" s="8">
        <f t="shared" si="17"/>
        <v>-0.000171931832</v>
      </c>
      <c r="F276" s="53">
        <v>0.08196064</v>
      </c>
      <c r="G276" s="8">
        <f t="shared" si="16"/>
        <v>0.000002245496986</v>
      </c>
      <c r="H276" s="8">
        <f t="shared" si="11"/>
        <v>3372.85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54">
        <f t="shared" si="12"/>
        <v>44058</v>
      </c>
      <c r="B277" s="8">
        <f t="shared" si="13"/>
        <v>270627027.9</v>
      </c>
      <c r="C277" s="8">
        <f t="shared" si="14"/>
        <v>0.0003493150685</v>
      </c>
      <c r="D277" s="8">
        <v>3372.85</v>
      </c>
      <c r="E277" s="8">
        <f t="shared" si="17"/>
        <v>0</v>
      </c>
      <c r="F277" s="53">
        <v>0.096839549</v>
      </c>
      <c r="G277" s="8">
        <f t="shared" si="16"/>
        <v>0.000002653138329</v>
      </c>
      <c r="H277" s="8">
        <f t="shared" si="11"/>
        <v>3372.85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54">
        <f t="shared" si="12"/>
        <v>44059</v>
      </c>
      <c r="B278" s="8">
        <f t="shared" si="13"/>
        <v>270721562</v>
      </c>
      <c r="C278" s="8">
        <f t="shared" si="14"/>
        <v>0.0003493150685</v>
      </c>
      <c r="D278" s="8">
        <v>3372.85</v>
      </c>
      <c r="E278" s="8">
        <f t="shared" si="17"/>
        <v>0</v>
      </c>
      <c r="F278" s="53">
        <v>0.088483525</v>
      </c>
      <c r="G278" s="8">
        <f t="shared" si="16"/>
        <v>0.000002424206164</v>
      </c>
      <c r="H278" s="8">
        <f t="shared" si="11"/>
        <v>3372.85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54">
        <f t="shared" si="12"/>
        <v>44060</v>
      </c>
      <c r="B279" s="8">
        <f t="shared" si="13"/>
        <v>270816129.2</v>
      </c>
      <c r="C279" s="8">
        <f t="shared" si="14"/>
        <v>0.0003493150685</v>
      </c>
      <c r="D279" s="8">
        <v>3381.99</v>
      </c>
      <c r="E279" s="8">
        <f t="shared" si="17"/>
        <v>0.002709874439</v>
      </c>
      <c r="F279" s="53">
        <v>0.101658214</v>
      </c>
      <c r="G279" s="8">
        <f t="shared" si="16"/>
        <v>0.000002785156548</v>
      </c>
      <c r="H279" s="8">
        <f t="shared" si="11"/>
        <v>3381.99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54">
        <f t="shared" si="12"/>
        <v>44061</v>
      </c>
      <c r="B280" s="8">
        <f t="shared" si="13"/>
        <v>270910729.3</v>
      </c>
      <c r="C280" s="8">
        <f t="shared" si="14"/>
        <v>0.0003493150685</v>
      </c>
      <c r="D280" s="8">
        <v>3389.78</v>
      </c>
      <c r="E280" s="8">
        <f t="shared" si="17"/>
        <v>0.002303377597</v>
      </c>
      <c r="F280" s="53">
        <v>0.088975315</v>
      </c>
      <c r="G280" s="8">
        <f t="shared" si="16"/>
        <v>0.000002437679863</v>
      </c>
      <c r="H280" s="8">
        <f t="shared" si="11"/>
        <v>3389.78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54">
        <f t="shared" si="12"/>
        <v>44062</v>
      </c>
      <c r="B281" s="8">
        <f t="shared" si="13"/>
        <v>271005362.5</v>
      </c>
      <c r="C281" s="8">
        <f t="shared" si="14"/>
        <v>0.0003493150685</v>
      </c>
      <c r="D281" s="8">
        <v>3374.85</v>
      </c>
      <c r="E281" s="8">
        <f t="shared" si="17"/>
        <v>-0.004404415626</v>
      </c>
      <c r="F281" s="53">
        <v>0.085583037</v>
      </c>
      <c r="G281" s="8">
        <f t="shared" si="16"/>
        <v>0.00000234474074</v>
      </c>
      <c r="H281" s="8">
        <f t="shared" si="11"/>
        <v>3374.85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54">
        <f t="shared" si="12"/>
        <v>44063</v>
      </c>
      <c r="B282" s="8">
        <f t="shared" si="13"/>
        <v>271100028.8</v>
      </c>
      <c r="C282" s="8">
        <f t="shared" si="14"/>
        <v>0.0003493150685</v>
      </c>
      <c r="D282" s="8">
        <v>3385.51</v>
      </c>
      <c r="E282" s="8">
        <f t="shared" si="17"/>
        <v>0.003158658903</v>
      </c>
      <c r="F282" s="53">
        <v>0.085012113</v>
      </c>
      <c r="G282" s="8">
        <f t="shared" si="16"/>
        <v>0.000002329098986</v>
      </c>
      <c r="H282" s="8">
        <f t="shared" si="11"/>
        <v>3385.51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54">
        <f t="shared" si="12"/>
        <v>44064</v>
      </c>
      <c r="B283" s="8">
        <f t="shared" si="13"/>
        <v>271194728.1</v>
      </c>
      <c r="C283" s="8">
        <f t="shared" si="14"/>
        <v>0.0003493150685</v>
      </c>
      <c r="D283" s="8">
        <v>3397.16</v>
      </c>
      <c r="E283" s="8">
        <f t="shared" si="17"/>
        <v>0.0034411359</v>
      </c>
      <c r="F283" s="53">
        <v>0.106367509</v>
      </c>
      <c r="G283" s="8">
        <f t="shared" si="16"/>
        <v>0.000002914178329</v>
      </c>
      <c r="H283" s="8">
        <f t="shared" si="11"/>
        <v>3397.16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54">
        <f t="shared" si="12"/>
        <v>44065</v>
      </c>
      <c r="B284" s="8">
        <f t="shared" si="13"/>
        <v>271289460.5</v>
      </c>
      <c r="C284" s="8">
        <f t="shared" si="14"/>
        <v>0.0003493150685</v>
      </c>
      <c r="D284" s="8">
        <v>3397.16</v>
      </c>
      <c r="E284" s="8">
        <f t="shared" si="17"/>
        <v>0</v>
      </c>
      <c r="F284" s="53">
        <v>0.085001998</v>
      </c>
      <c r="G284" s="8">
        <f t="shared" si="16"/>
        <v>0.000002328821863</v>
      </c>
      <c r="H284" s="8">
        <f t="shared" si="11"/>
        <v>3397.16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54">
        <f t="shared" si="12"/>
        <v>44066</v>
      </c>
      <c r="B285" s="8">
        <f t="shared" si="13"/>
        <v>271384226</v>
      </c>
      <c r="C285" s="8">
        <f t="shared" si="14"/>
        <v>0.0003493150685</v>
      </c>
      <c r="D285" s="8">
        <v>3397.16</v>
      </c>
      <c r="E285" s="8">
        <f t="shared" si="17"/>
        <v>0</v>
      </c>
      <c r="F285" s="53">
        <v>0.103045395</v>
      </c>
      <c r="G285" s="8">
        <f t="shared" si="16"/>
        <v>0.000002823161507</v>
      </c>
      <c r="H285" s="8">
        <f t="shared" si="11"/>
        <v>3397.16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54">
        <f t="shared" si="12"/>
        <v>44067</v>
      </c>
      <c r="B286" s="8">
        <f t="shared" si="13"/>
        <v>271479024.6</v>
      </c>
      <c r="C286" s="8">
        <f t="shared" si="14"/>
        <v>0.0003493150685</v>
      </c>
      <c r="D286" s="8">
        <v>3431.28</v>
      </c>
      <c r="E286" s="8">
        <f t="shared" si="17"/>
        <v>0.01004368355</v>
      </c>
      <c r="F286" s="53">
        <v>0.101097779</v>
      </c>
      <c r="G286" s="8">
        <f t="shared" si="16"/>
        <v>0.000002769802164</v>
      </c>
      <c r="H286" s="8">
        <f t="shared" si="11"/>
        <v>3431.28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54">
        <f t="shared" si="12"/>
        <v>44068</v>
      </c>
      <c r="B287" s="8">
        <f t="shared" si="13"/>
        <v>271573856.3</v>
      </c>
      <c r="C287" s="8">
        <f t="shared" si="14"/>
        <v>0.0003493150685</v>
      </c>
      <c r="D287" s="8">
        <v>3443.62</v>
      </c>
      <c r="E287" s="8">
        <f t="shared" si="17"/>
        <v>0.003596325569</v>
      </c>
      <c r="F287" s="53">
        <v>0.11153981</v>
      </c>
      <c r="G287" s="8">
        <f t="shared" si="16"/>
        <v>0.000003055885205</v>
      </c>
      <c r="H287" s="8">
        <f t="shared" si="11"/>
        <v>3443.62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54">
        <f t="shared" si="12"/>
        <v>44069</v>
      </c>
      <c r="B288" s="8">
        <f t="shared" si="13"/>
        <v>271668721.1</v>
      </c>
      <c r="C288" s="8">
        <f t="shared" si="14"/>
        <v>0.0003493150685</v>
      </c>
      <c r="D288" s="8">
        <v>3478.73</v>
      </c>
      <c r="E288" s="8">
        <f t="shared" si="17"/>
        <v>0.01019566619</v>
      </c>
      <c r="F288" s="53">
        <v>0.078386295</v>
      </c>
      <c r="G288" s="8">
        <f t="shared" si="16"/>
        <v>0.000002147569726</v>
      </c>
      <c r="H288" s="8">
        <f t="shared" si="11"/>
        <v>3478.73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54">
        <f t="shared" si="12"/>
        <v>44070</v>
      </c>
      <c r="B289" s="8">
        <f t="shared" si="13"/>
        <v>271763619.1</v>
      </c>
      <c r="C289" s="8">
        <f t="shared" si="14"/>
        <v>0.0003493150685</v>
      </c>
      <c r="D289" s="8">
        <v>3484.55</v>
      </c>
      <c r="E289" s="8">
        <f t="shared" si="17"/>
        <v>0.001673024351</v>
      </c>
      <c r="F289" s="53">
        <v>0.10353026</v>
      </c>
      <c r="G289" s="8">
        <f t="shared" si="16"/>
        <v>0.000002836445479</v>
      </c>
      <c r="H289" s="8">
        <f t="shared" si="11"/>
        <v>3484.55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54">
        <f t="shared" si="12"/>
        <v>44071</v>
      </c>
      <c r="B290" s="8">
        <f t="shared" si="13"/>
        <v>271858550.3</v>
      </c>
      <c r="C290" s="8">
        <f t="shared" si="14"/>
        <v>0.0003493150685</v>
      </c>
      <c r="D290" s="8">
        <v>3508.01</v>
      </c>
      <c r="E290" s="8">
        <f t="shared" si="17"/>
        <v>0.00673257666</v>
      </c>
      <c r="F290" s="53">
        <v>0.089615961</v>
      </c>
      <c r="G290" s="8">
        <f t="shared" si="16"/>
        <v>0.000002455231808</v>
      </c>
      <c r="H290" s="8">
        <f t="shared" si="11"/>
        <v>3508.01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54">
        <f t="shared" si="12"/>
        <v>44072</v>
      </c>
      <c r="B291" s="8">
        <f t="shared" si="13"/>
        <v>271953514.5</v>
      </c>
      <c r="C291" s="8">
        <f t="shared" si="14"/>
        <v>0.0003493150685</v>
      </c>
      <c r="D291" s="8">
        <v>3508.01</v>
      </c>
      <c r="E291" s="8">
        <f t="shared" si="17"/>
        <v>0</v>
      </c>
      <c r="F291" s="53">
        <v>0.115504925</v>
      </c>
      <c r="G291" s="8">
        <f t="shared" si="16"/>
        <v>0.000003164518493</v>
      </c>
      <c r="H291" s="8">
        <f t="shared" si="11"/>
        <v>3508.01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54">
        <f t="shared" si="12"/>
        <v>44073</v>
      </c>
      <c r="B292" s="8">
        <f t="shared" si="13"/>
        <v>272048512</v>
      </c>
      <c r="C292" s="8">
        <f t="shared" si="14"/>
        <v>0.0003493150685</v>
      </c>
      <c r="D292" s="8">
        <v>3508.01</v>
      </c>
      <c r="E292" s="8">
        <f t="shared" si="17"/>
        <v>0</v>
      </c>
      <c r="F292" s="53">
        <v>0.097196157</v>
      </c>
      <c r="G292" s="8">
        <f t="shared" si="16"/>
        <v>0.000002662908411</v>
      </c>
      <c r="H292" s="8">
        <f t="shared" si="11"/>
        <v>3508.01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54">
        <f t="shared" si="12"/>
        <v>44074</v>
      </c>
      <c r="B293" s="8">
        <f t="shared" si="13"/>
        <v>272143542.6</v>
      </c>
      <c r="C293" s="8">
        <f t="shared" si="14"/>
        <v>0.0003493150685</v>
      </c>
      <c r="D293" s="8">
        <v>3500.31</v>
      </c>
      <c r="E293" s="8">
        <f t="shared" si="17"/>
        <v>-0.002194976639</v>
      </c>
      <c r="F293" s="53">
        <v>0.084355666</v>
      </c>
      <c r="G293" s="8">
        <f t="shared" si="16"/>
        <v>0.000002311114137</v>
      </c>
      <c r="H293" s="8">
        <f t="shared" si="11"/>
        <v>3500.31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54">
        <f t="shared" si="12"/>
        <v>44075</v>
      </c>
      <c r="B294" s="8">
        <f t="shared" si="13"/>
        <v>272238606.5</v>
      </c>
      <c r="C294" s="8">
        <f t="shared" si="14"/>
        <v>0.0003493150685</v>
      </c>
      <c r="D294" s="8">
        <v>3536.65</v>
      </c>
      <c r="E294" s="8">
        <f t="shared" si="17"/>
        <v>0.0103819376</v>
      </c>
      <c r="F294" s="53">
        <v>0.085942796</v>
      </c>
      <c r="G294" s="8">
        <f t="shared" si="16"/>
        <v>0.000002354597151</v>
      </c>
      <c r="H294" s="8">
        <f t="shared" si="11"/>
        <v>3536.65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54">
        <f t="shared" si="12"/>
        <v>44076</v>
      </c>
      <c r="B295" s="8">
        <f t="shared" si="13"/>
        <v>272333703.5</v>
      </c>
      <c r="C295" s="8">
        <f t="shared" si="14"/>
        <v>0.0003493150685</v>
      </c>
      <c r="D295" s="8">
        <v>3580.84</v>
      </c>
      <c r="E295" s="8">
        <f t="shared" si="17"/>
        <v>0.01249487509</v>
      </c>
      <c r="F295" s="53">
        <v>0.09931276</v>
      </c>
      <c r="G295" s="8">
        <f t="shared" si="16"/>
        <v>0.000002720897534</v>
      </c>
      <c r="H295" s="8">
        <f t="shared" si="11"/>
        <v>3580.84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54">
        <f t="shared" si="12"/>
        <v>44077</v>
      </c>
      <c r="B296" s="8">
        <f t="shared" si="13"/>
        <v>272428833.8</v>
      </c>
      <c r="C296" s="8">
        <f t="shared" si="14"/>
        <v>0.0003493150685</v>
      </c>
      <c r="D296" s="8">
        <v>3455.06</v>
      </c>
      <c r="E296" s="8">
        <f t="shared" si="17"/>
        <v>-0.0351258364</v>
      </c>
      <c r="F296" s="53">
        <v>0.110863888</v>
      </c>
      <c r="G296" s="8">
        <f t="shared" si="16"/>
        <v>0.000003037366795</v>
      </c>
      <c r="H296" s="8">
        <f t="shared" si="11"/>
        <v>3455.06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54">
        <f t="shared" si="12"/>
        <v>44078</v>
      </c>
      <c r="B297" s="8">
        <f t="shared" si="13"/>
        <v>272523997.3</v>
      </c>
      <c r="C297" s="8">
        <f t="shared" si="14"/>
        <v>0.0003493150685</v>
      </c>
      <c r="D297" s="8">
        <v>3426.96</v>
      </c>
      <c r="E297" s="8">
        <f t="shared" si="17"/>
        <v>-0.008132999137</v>
      </c>
      <c r="F297" s="53">
        <v>0.087419583</v>
      </c>
      <c r="G297" s="8">
        <f t="shared" si="16"/>
        <v>0.000002395057068</v>
      </c>
      <c r="H297" s="8">
        <f t="shared" si="11"/>
        <v>3426.96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54">
        <f t="shared" si="12"/>
        <v>44079</v>
      </c>
      <c r="B298" s="8">
        <f t="shared" si="13"/>
        <v>272619194</v>
      </c>
      <c r="C298" s="8">
        <f t="shared" si="14"/>
        <v>0.0003493150685</v>
      </c>
      <c r="D298" s="8">
        <v>3426.96</v>
      </c>
      <c r="E298" s="8">
        <f t="shared" si="17"/>
        <v>0</v>
      </c>
      <c r="F298" s="53">
        <v>0.113831789</v>
      </c>
      <c r="G298" s="8">
        <f t="shared" si="16"/>
        <v>0.000003118679151</v>
      </c>
      <c r="H298" s="8">
        <f t="shared" si="11"/>
        <v>3426.96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54">
        <f t="shared" si="12"/>
        <v>44080</v>
      </c>
      <c r="B299" s="8">
        <f t="shared" si="13"/>
        <v>272714424</v>
      </c>
      <c r="C299" s="8">
        <f t="shared" si="14"/>
        <v>0.0003493150685</v>
      </c>
      <c r="D299" s="8">
        <v>3426.96</v>
      </c>
      <c r="E299" s="8">
        <f t="shared" si="17"/>
        <v>0</v>
      </c>
      <c r="F299" s="53">
        <v>0.104502504</v>
      </c>
      <c r="G299" s="8">
        <f t="shared" si="16"/>
        <v>0.000002863082301</v>
      </c>
      <c r="H299" s="8">
        <f t="shared" si="11"/>
        <v>3426.96</v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54">
        <f t="shared" si="12"/>
        <v>44081</v>
      </c>
      <c r="B300" s="8">
        <f t="shared" si="13"/>
        <v>272809687.3</v>
      </c>
      <c r="C300" s="8">
        <f t="shared" si="14"/>
        <v>0.0003493150685</v>
      </c>
      <c r="D300" s="8">
        <v>3426.96</v>
      </c>
      <c r="E300" s="8">
        <f t="shared" si="17"/>
        <v>0</v>
      </c>
      <c r="F300" s="53">
        <v>0.089462616</v>
      </c>
      <c r="G300" s="8">
        <f t="shared" si="16"/>
        <v>0.000002451030575</v>
      </c>
      <c r="H300" s="8">
        <f t="shared" si="11"/>
        <v>3426.96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54">
        <f t="shared" si="12"/>
        <v>44082</v>
      </c>
      <c r="B301" s="8">
        <f t="shared" si="13"/>
        <v>272904983.8</v>
      </c>
      <c r="C301" s="8">
        <f t="shared" si="14"/>
        <v>0.0003493150685</v>
      </c>
      <c r="D301" s="8">
        <v>3331.84</v>
      </c>
      <c r="E301" s="8">
        <f t="shared" si="17"/>
        <v>-0.02775637883</v>
      </c>
      <c r="F301" s="53">
        <v>0.118370708</v>
      </c>
      <c r="G301" s="8">
        <f t="shared" si="16"/>
        <v>0.000003243033096</v>
      </c>
      <c r="H301" s="8">
        <f t="shared" si="11"/>
        <v>3331.84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54">
        <f t="shared" si="12"/>
        <v>44083</v>
      </c>
      <c r="B302" s="8">
        <f t="shared" si="13"/>
        <v>273000313.6</v>
      </c>
      <c r="C302" s="8">
        <f t="shared" si="14"/>
        <v>0.0003493150685</v>
      </c>
      <c r="D302" s="8">
        <v>3398.96</v>
      </c>
      <c r="E302" s="8">
        <f t="shared" si="17"/>
        <v>0.02014502497</v>
      </c>
      <c r="F302" s="53">
        <v>0.096756114</v>
      </c>
      <c r="G302" s="8">
        <f t="shared" si="16"/>
        <v>0.000002650852438</v>
      </c>
      <c r="H302" s="8">
        <f t="shared" si="11"/>
        <v>3398.96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54">
        <f t="shared" si="12"/>
        <v>44084</v>
      </c>
      <c r="B303" s="8">
        <f t="shared" si="13"/>
        <v>273095676.8</v>
      </c>
      <c r="C303" s="8">
        <f t="shared" si="14"/>
        <v>0.0003493150685</v>
      </c>
      <c r="D303" s="8">
        <v>3339.19</v>
      </c>
      <c r="E303" s="8">
        <f t="shared" si="17"/>
        <v>-0.01758479064</v>
      </c>
      <c r="F303" s="53">
        <v>0.11159198</v>
      </c>
      <c r="G303" s="8">
        <f t="shared" si="16"/>
        <v>0.000003057314521</v>
      </c>
      <c r="H303" s="8">
        <f t="shared" si="11"/>
        <v>3339.19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54">
        <f t="shared" si="12"/>
        <v>44085</v>
      </c>
      <c r="B304" s="8">
        <f t="shared" si="13"/>
        <v>273191073.2</v>
      </c>
      <c r="C304" s="8">
        <f t="shared" si="14"/>
        <v>0.0003493150685</v>
      </c>
      <c r="D304" s="8">
        <v>3340.97</v>
      </c>
      <c r="E304" s="8">
        <f t="shared" si="17"/>
        <v>0.0005330634076</v>
      </c>
      <c r="F304" s="53">
        <v>0.110802973</v>
      </c>
      <c r="G304" s="8">
        <f t="shared" si="16"/>
        <v>0.00000303569789</v>
      </c>
      <c r="H304" s="8">
        <f t="shared" si="11"/>
        <v>3340.97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54">
        <f t="shared" si="12"/>
        <v>44086</v>
      </c>
      <c r="B305" s="8">
        <f t="shared" si="13"/>
        <v>273286503</v>
      </c>
      <c r="C305" s="8">
        <f t="shared" si="14"/>
        <v>0.0003493150685</v>
      </c>
      <c r="D305" s="8">
        <v>3340.97</v>
      </c>
      <c r="E305" s="8">
        <f t="shared" si="17"/>
        <v>0</v>
      </c>
      <c r="F305" s="53">
        <v>0.084183548</v>
      </c>
      <c r="G305" s="8">
        <f t="shared" si="16"/>
        <v>0.000002306398575</v>
      </c>
      <c r="H305" s="8">
        <f t="shared" si="11"/>
        <v>3340.97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54">
        <f t="shared" si="12"/>
        <v>44087</v>
      </c>
      <c r="B306" s="8">
        <f t="shared" si="13"/>
        <v>273381966.1</v>
      </c>
      <c r="C306" s="8">
        <f t="shared" si="14"/>
        <v>0.0003493150685</v>
      </c>
      <c r="D306" s="8">
        <v>3340.97</v>
      </c>
      <c r="E306" s="8">
        <f t="shared" si="17"/>
        <v>0</v>
      </c>
      <c r="F306" s="53">
        <v>0.103033999</v>
      </c>
      <c r="G306" s="8">
        <f t="shared" si="16"/>
        <v>0.000002822849288</v>
      </c>
      <c r="H306" s="8">
        <f t="shared" si="11"/>
        <v>3340.97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54">
        <f t="shared" si="12"/>
        <v>44088</v>
      </c>
      <c r="B307" s="8">
        <f t="shared" si="13"/>
        <v>273477462.5</v>
      </c>
      <c r="C307" s="8">
        <f t="shared" si="14"/>
        <v>0.0003493150685</v>
      </c>
      <c r="D307" s="8">
        <v>3383.54</v>
      </c>
      <c r="E307" s="8">
        <f t="shared" si="17"/>
        <v>0.01274180852</v>
      </c>
      <c r="F307" s="53">
        <v>0.089308102</v>
      </c>
      <c r="G307" s="8">
        <f t="shared" si="16"/>
        <v>0.000002446797315</v>
      </c>
      <c r="H307" s="8">
        <f t="shared" si="11"/>
        <v>3383.54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54">
        <f t="shared" si="12"/>
        <v>44089</v>
      </c>
      <c r="B308" s="8">
        <f t="shared" si="13"/>
        <v>273572992.3</v>
      </c>
      <c r="C308" s="8">
        <f t="shared" si="14"/>
        <v>0.0003493150685</v>
      </c>
      <c r="D308" s="8">
        <v>3401.2</v>
      </c>
      <c r="E308" s="8">
        <f t="shared" si="17"/>
        <v>0.005219385614</v>
      </c>
      <c r="F308" s="53">
        <v>0.108018313</v>
      </c>
      <c r="G308" s="8">
        <f t="shared" si="16"/>
        <v>0.000002959405836</v>
      </c>
      <c r="H308" s="8">
        <f t="shared" si="11"/>
        <v>3401.2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54">
        <f t="shared" si="12"/>
        <v>44090</v>
      </c>
      <c r="B309" s="8">
        <f t="shared" si="13"/>
        <v>273668555.5</v>
      </c>
      <c r="C309" s="8">
        <f t="shared" si="14"/>
        <v>0.0003493150685</v>
      </c>
      <c r="D309" s="8">
        <v>3385.49</v>
      </c>
      <c r="E309" s="8">
        <f t="shared" si="17"/>
        <v>-0.004618958015</v>
      </c>
      <c r="F309" s="53">
        <v>0.113804222</v>
      </c>
      <c r="G309" s="8">
        <f t="shared" si="16"/>
        <v>0.00000311792389</v>
      </c>
      <c r="H309" s="8">
        <f t="shared" si="11"/>
        <v>3385.49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54">
        <f t="shared" si="12"/>
        <v>44091</v>
      </c>
      <c r="B310" s="8">
        <f t="shared" si="13"/>
        <v>273764152</v>
      </c>
      <c r="C310" s="8">
        <f t="shared" si="14"/>
        <v>0.0003493150685</v>
      </c>
      <c r="D310" s="8">
        <v>3357.01</v>
      </c>
      <c r="E310" s="8">
        <f t="shared" si="17"/>
        <v>-0.008412371621</v>
      </c>
      <c r="F310" s="53">
        <v>0.08551135</v>
      </c>
      <c r="G310" s="8">
        <f t="shared" si="16"/>
        <v>0.000002342776712</v>
      </c>
      <c r="H310" s="8">
        <f t="shared" si="11"/>
        <v>3357.01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54">
        <f t="shared" si="12"/>
        <v>44092</v>
      </c>
      <c r="B311" s="8">
        <f t="shared" si="13"/>
        <v>273859782</v>
      </c>
      <c r="C311" s="8">
        <f t="shared" si="14"/>
        <v>0.0003493150685</v>
      </c>
      <c r="D311" s="8">
        <v>3319.47</v>
      </c>
      <c r="E311" s="8">
        <f t="shared" si="17"/>
        <v>-0.0111825702</v>
      </c>
      <c r="F311" s="53">
        <v>0.10311401</v>
      </c>
      <c r="G311" s="8">
        <f t="shared" si="16"/>
        <v>0.00000282504137</v>
      </c>
      <c r="H311" s="8">
        <f t="shared" si="11"/>
        <v>3319.47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54">
        <f t="shared" si="12"/>
        <v>44093</v>
      </c>
      <c r="B312" s="8">
        <f t="shared" si="13"/>
        <v>273955445.3</v>
      </c>
      <c r="C312" s="8">
        <f t="shared" si="14"/>
        <v>0.0003493150685</v>
      </c>
      <c r="D312" s="8">
        <v>3319.47</v>
      </c>
      <c r="E312" s="8">
        <f t="shared" si="17"/>
        <v>0</v>
      </c>
      <c r="F312" s="53">
        <v>0.07687088</v>
      </c>
      <c r="G312" s="8">
        <f t="shared" si="16"/>
        <v>0.000002106051507</v>
      </c>
      <c r="H312" s="8">
        <f t="shared" si="11"/>
        <v>3319.47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54">
        <f t="shared" si="12"/>
        <v>44094</v>
      </c>
      <c r="B313" s="8">
        <f t="shared" si="13"/>
        <v>274051142.1</v>
      </c>
      <c r="C313" s="8">
        <f t="shared" si="14"/>
        <v>0.0003493150685</v>
      </c>
      <c r="D313" s="8">
        <v>3319.47</v>
      </c>
      <c r="E313" s="8">
        <f t="shared" si="17"/>
        <v>0</v>
      </c>
      <c r="F313" s="53">
        <v>0.089404511</v>
      </c>
      <c r="G313" s="8">
        <f t="shared" si="16"/>
        <v>0.000002449438658</v>
      </c>
      <c r="H313" s="8">
        <f t="shared" si="11"/>
        <v>3319.47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54">
        <f t="shared" si="12"/>
        <v>44095</v>
      </c>
      <c r="B314" s="8">
        <f t="shared" si="13"/>
        <v>274146872.3</v>
      </c>
      <c r="C314" s="8">
        <f t="shared" si="14"/>
        <v>0.0003493150685</v>
      </c>
      <c r="D314" s="8">
        <v>3281.06</v>
      </c>
      <c r="E314" s="8">
        <f t="shared" si="17"/>
        <v>-0.01157112431</v>
      </c>
      <c r="F314" s="53">
        <v>0.096229042</v>
      </c>
      <c r="G314" s="8">
        <f t="shared" si="16"/>
        <v>0.00000263641211</v>
      </c>
      <c r="H314" s="8">
        <f t="shared" si="11"/>
        <v>3281.06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54">
        <f t="shared" si="12"/>
        <v>44096</v>
      </c>
      <c r="B315" s="8">
        <f t="shared" si="13"/>
        <v>274242635.9</v>
      </c>
      <c r="C315" s="8">
        <f t="shared" si="14"/>
        <v>0.0003493150685</v>
      </c>
      <c r="D315" s="8">
        <v>3315.57</v>
      </c>
      <c r="E315" s="8">
        <f t="shared" si="17"/>
        <v>0.01051794237</v>
      </c>
      <c r="F315" s="53">
        <v>0.100079316</v>
      </c>
      <c r="G315" s="8">
        <f t="shared" si="16"/>
        <v>0.000002741899068</v>
      </c>
      <c r="H315" s="8">
        <f t="shared" si="11"/>
        <v>3315.57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54">
        <f t="shared" si="12"/>
        <v>44097</v>
      </c>
      <c r="B316" s="8">
        <f t="shared" si="13"/>
        <v>274338433</v>
      </c>
      <c r="C316" s="8">
        <f t="shared" si="14"/>
        <v>0.0003493150685</v>
      </c>
      <c r="D316" s="8">
        <v>3236.92</v>
      </c>
      <c r="E316" s="8">
        <f t="shared" si="17"/>
        <v>-0.0237214114</v>
      </c>
      <c r="F316" s="53">
        <v>0.093221758</v>
      </c>
      <c r="G316" s="8">
        <f t="shared" si="16"/>
        <v>0.000002554020767</v>
      </c>
      <c r="H316" s="8">
        <f t="shared" si="11"/>
        <v>3236.92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54">
        <f t="shared" si="12"/>
        <v>44098</v>
      </c>
      <c r="B317" s="8">
        <f t="shared" si="13"/>
        <v>274434263.5</v>
      </c>
      <c r="C317" s="8">
        <f t="shared" si="14"/>
        <v>0.0003493150685</v>
      </c>
      <c r="D317" s="8">
        <v>3246.59</v>
      </c>
      <c r="E317" s="8">
        <f t="shared" si="17"/>
        <v>0.002987407783</v>
      </c>
      <c r="F317" s="53">
        <v>0.088294431</v>
      </c>
      <c r="G317" s="8">
        <f t="shared" si="16"/>
        <v>0.000002419025507</v>
      </c>
      <c r="H317" s="8">
        <f t="shared" si="11"/>
        <v>3246.59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54">
        <f t="shared" si="12"/>
        <v>44099</v>
      </c>
      <c r="B318" s="8">
        <f t="shared" si="13"/>
        <v>274530127.6</v>
      </c>
      <c r="C318" s="8">
        <f t="shared" si="14"/>
        <v>0.0003493150685</v>
      </c>
      <c r="D318" s="8">
        <v>3298.46</v>
      </c>
      <c r="E318" s="8">
        <f t="shared" si="17"/>
        <v>0.01597676331</v>
      </c>
      <c r="F318" s="53">
        <v>0.08798952</v>
      </c>
      <c r="G318" s="8">
        <f t="shared" si="16"/>
        <v>0.000002410671781</v>
      </c>
      <c r="H318" s="8">
        <f t="shared" si="11"/>
        <v>3298.46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54">
        <f t="shared" si="12"/>
        <v>44100</v>
      </c>
      <c r="B319" s="8">
        <f t="shared" si="13"/>
        <v>274626025.1</v>
      </c>
      <c r="C319" s="8">
        <f t="shared" si="14"/>
        <v>0.0003493150685</v>
      </c>
      <c r="D319" s="8">
        <v>3298.46</v>
      </c>
      <c r="E319" s="8">
        <f t="shared" si="17"/>
        <v>0</v>
      </c>
      <c r="F319" s="53">
        <v>0.099891209</v>
      </c>
      <c r="G319" s="8">
        <f t="shared" si="16"/>
        <v>0.000002736745452</v>
      </c>
      <c r="H319" s="8">
        <f t="shared" si="11"/>
        <v>3298.46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54">
        <f t="shared" si="12"/>
        <v>44101</v>
      </c>
      <c r="B320" s="8">
        <f t="shared" si="13"/>
        <v>274721956.1</v>
      </c>
      <c r="C320" s="8">
        <f t="shared" si="14"/>
        <v>0.0003493150685</v>
      </c>
      <c r="D320" s="8">
        <v>3298.46</v>
      </c>
      <c r="E320" s="8">
        <f t="shared" si="17"/>
        <v>0</v>
      </c>
      <c r="F320" s="53">
        <v>0.102405355</v>
      </c>
      <c r="G320" s="8">
        <f t="shared" si="16"/>
        <v>0.000002805626164</v>
      </c>
      <c r="H320" s="8">
        <f t="shared" si="11"/>
        <v>3298.46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54">
        <f t="shared" si="12"/>
        <v>44102</v>
      </c>
      <c r="B321" s="8">
        <f t="shared" si="13"/>
        <v>274817920.6</v>
      </c>
      <c r="C321" s="8">
        <f t="shared" si="14"/>
        <v>0.0003493150685</v>
      </c>
      <c r="D321" s="8">
        <v>3351.6</v>
      </c>
      <c r="E321" s="8">
        <f t="shared" si="17"/>
        <v>0.01611054856</v>
      </c>
      <c r="F321" s="53">
        <v>0.080147188</v>
      </c>
      <c r="G321" s="8">
        <f t="shared" si="16"/>
        <v>0.00000219581337</v>
      </c>
      <c r="H321" s="8">
        <f t="shared" si="11"/>
        <v>3351.6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54">
        <f t="shared" si="12"/>
        <v>44103</v>
      </c>
      <c r="B322" s="8">
        <f t="shared" si="13"/>
        <v>274913918.6</v>
      </c>
      <c r="C322" s="8">
        <f t="shared" si="14"/>
        <v>0.0003493150685</v>
      </c>
      <c r="D322" s="8">
        <v>3335.47</v>
      </c>
      <c r="E322" s="8">
        <f t="shared" si="17"/>
        <v>-0.004812626805</v>
      </c>
      <c r="F322" s="53">
        <v>0.084558051</v>
      </c>
      <c r="G322" s="8">
        <f t="shared" si="16"/>
        <v>0.000002316658932</v>
      </c>
      <c r="H322" s="8">
        <f t="shared" si="11"/>
        <v>3335.47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54">
        <f t="shared" si="12"/>
        <v>44104</v>
      </c>
      <c r="B323" s="8">
        <f t="shared" si="13"/>
        <v>275009950.2</v>
      </c>
      <c r="C323" s="8">
        <f t="shared" si="14"/>
        <v>0.0003493150685</v>
      </c>
      <c r="D323" s="8">
        <v>3363.0</v>
      </c>
      <c r="E323" s="8">
        <f t="shared" si="17"/>
        <v>0.008253709372</v>
      </c>
      <c r="F323" s="53">
        <v>0.092679851</v>
      </c>
      <c r="G323" s="8">
        <f t="shared" si="16"/>
        <v>0.000002539174</v>
      </c>
      <c r="H323" s="8">
        <f t="shared" si="11"/>
        <v>3363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54">
        <f t="shared" si="12"/>
        <v>44105</v>
      </c>
      <c r="B324" s="8">
        <f t="shared" si="13"/>
        <v>275106015.3</v>
      </c>
      <c r="C324" s="8">
        <f t="shared" si="14"/>
        <v>0.0003493150685</v>
      </c>
      <c r="D324" s="8">
        <v>3380.8</v>
      </c>
      <c r="E324" s="8">
        <f t="shared" si="17"/>
        <v>0.00529289325</v>
      </c>
      <c r="F324" s="53">
        <v>0.09716084</v>
      </c>
      <c r="G324" s="8">
        <f t="shared" si="16"/>
        <v>0.000002661940822</v>
      </c>
      <c r="H324" s="8">
        <f t="shared" si="11"/>
        <v>3380.8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54">
        <f t="shared" si="12"/>
        <v>44106</v>
      </c>
      <c r="B325" s="8">
        <f t="shared" si="13"/>
        <v>275202114</v>
      </c>
      <c r="C325" s="8">
        <f t="shared" si="14"/>
        <v>0.0003493150685</v>
      </c>
      <c r="D325" s="8">
        <v>3348.42</v>
      </c>
      <c r="E325" s="8">
        <f t="shared" si="17"/>
        <v>-0.009577614766</v>
      </c>
      <c r="F325" s="53">
        <v>0.087890929</v>
      </c>
      <c r="G325" s="8">
        <f t="shared" si="16"/>
        <v>0.000002407970658</v>
      </c>
      <c r="H325" s="8">
        <f t="shared" si="11"/>
        <v>3348.42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54">
        <f t="shared" si="12"/>
        <v>44107</v>
      </c>
      <c r="B326" s="8">
        <f t="shared" si="13"/>
        <v>275298246.2</v>
      </c>
      <c r="C326" s="8">
        <f t="shared" si="14"/>
        <v>0.0003493150685</v>
      </c>
      <c r="D326" s="8">
        <v>3348.42</v>
      </c>
      <c r="E326" s="8">
        <f t="shared" si="17"/>
        <v>0</v>
      </c>
      <c r="F326" s="53">
        <v>0.09216411</v>
      </c>
      <c r="G326" s="8">
        <f t="shared" si="16"/>
        <v>0.00000252504411</v>
      </c>
      <c r="H326" s="8">
        <f t="shared" si="11"/>
        <v>3348.42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54">
        <f t="shared" si="12"/>
        <v>44108</v>
      </c>
      <c r="B327" s="8">
        <f t="shared" si="13"/>
        <v>275394412.1</v>
      </c>
      <c r="C327" s="8">
        <f t="shared" si="14"/>
        <v>0.0003493150685</v>
      </c>
      <c r="D327" s="8">
        <v>3348.42</v>
      </c>
      <c r="E327" s="8">
        <f t="shared" si="17"/>
        <v>0</v>
      </c>
      <c r="F327" s="53">
        <v>0.098592749</v>
      </c>
      <c r="G327" s="8">
        <f t="shared" si="16"/>
        <v>0.000002701171205</v>
      </c>
      <c r="H327" s="8">
        <f t="shared" si="11"/>
        <v>3348.42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54">
        <f t="shared" si="12"/>
        <v>44109</v>
      </c>
      <c r="B328" s="8">
        <f t="shared" si="13"/>
        <v>275490611.5</v>
      </c>
      <c r="C328" s="8">
        <f t="shared" si="14"/>
        <v>0.0003493150685</v>
      </c>
      <c r="D328" s="8">
        <v>3408.6</v>
      </c>
      <c r="E328" s="8">
        <f t="shared" si="17"/>
        <v>0.01797265576</v>
      </c>
      <c r="F328" s="53">
        <v>0.097583</v>
      </c>
      <c r="G328" s="8">
        <f t="shared" si="16"/>
        <v>0.000002673506849</v>
      </c>
      <c r="H328" s="8">
        <f t="shared" si="11"/>
        <v>3408.6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54">
        <f t="shared" si="12"/>
        <v>44110</v>
      </c>
      <c r="B329" s="8">
        <f t="shared" si="13"/>
        <v>275586844.5</v>
      </c>
      <c r="C329" s="8">
        <f t="shared" si="14"/>
        <v>0.0003493150685</v>
      </c>
      <c r="D329" s="8">
        <v>3360.97</v>
      </c>
      <c r="E329" s="8">
        <f t="shared" si="17"/>
        <v>-0.01397347885</v>
      </c>
      <c r="F329" s="53">
        <v>0.106186693</v>
      </c>
      <c r="G329" s="8">
        <f t="shared" si="16"/>
        <v>0.000002909224466</v>
      </c>
      <c r="H329" s="8">
        <f t="shared" si="11"/>
        <v>3360.97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54">
        <f t="shared" si="12"/>
        <v>44111</v>
      </c>
      <c r="B330" s="8">
        <f t="shared" si="13"/>
        <v>275683111.1</v>
      </c>
      <c r="C330" s="8">
        <f t="shared" si="14"/>
        <v>0.0003493150685</v>
      </c>
      <c r="D330" s="8">
        <v>3419.44</v>
      </c>
      <c r="E330" s="8">
        <f t="shared" si="17"/>
        <v>0.01739676343</v>
      </c>
      <c r="F330" s="53">
        <v>0.108140468</v>
      </c>
      <c r="G330" s="8">
        <f t="shared" si="16"/>
        <v>0.000002962752548</v>
      </c>
      <c r="H330" s="8">
        <f t="shared" si="11"/>
        <v>3419.44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54">
        <f t="shared" si="12"/>
        <v>44112</v>
      </c>
      <c r="B331" s="8">
        <f t="shared" si="13"/>
        <v>275779411.4</v>
      </c>
      <c r="C331" s="8">
        <f t="shared" si="14"/>
        <v>0.0003493150685</v>
      </c>
      <c r="D331" s="8">
        <v>3446.83</v>
      </c>
      <c r="E331" s="8">
        <f t="shared" si="17"/>
        <v>0.008010083522</v>
      </c>
      <c r="F331" s="53">
        <v>0.101689783</v>
      </c>
      <c r="G331" s="8">
        <f t="shared" si="16"/>
        <v>0.000002786021452</v>
      </c>
      <c r="H331" s="8">
        <f t="shared" si="11"/>
        <v>3446.83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54">
        <f t="shared" si="12"/>
        <v>44113</v>
      </c>
      <c r="B332" s="8">
        <f t="shared" si="13"/>
        <v>275875745.3</v>
      </c>
      <c r="C332" s="8">
        <f t="shared" si="14"/>
        <v>0.0003493150685</v>
      </c>
      <c r="D332" s="8">
        <v>3477.14</v>
      </c>
      <c r="E332" s="8">
        <f t="shared" si="17"/>
        <v>0.008793587151</v>
      </c>
      <c r="F332" s="53">
        <v>0.103991813</v>
      </c>
      <c r="G332" s="8">
        <f t="shared" si="16"/>
        <v>0.000002849090767</v>
      </c>
      <c r="H332" s="8">
        <f t="shared" si="11"/>
        <v>3477.14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54">
        <f t="shared" si="12"/>
        <v>44114</v>
      </c>
      <c r="B333" s="8">
        <f t="shared" si="13"/>
        <v>275972112.9</v>
      </c>
      <c r="C333" s="8">
        <f t="shared" si="14"/>
        <v>0.0003493150685</v>
      </c>
      <c r="D333" s="8">
        <v>3477.14</v>
      </c>
      <c r="E333" s="8">
        <f t="shared" si="17"/>
        <v>0</v>
      </c>
      <c r="F333" s="53">
        <v>0.112882526</v>
      </c>
      <c r="G333" s="8">
        <f t="shared" si="16"/>
        <v>0.000003092671945</v>
      </c>
      <c r="H333" s="8">
        <f t="shared" si="11"/>
        <v>3477.14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54">
        <f t="shared" si="12"/>
        <v>44115</v>
      </c>
      <c r="B334" s="8">
        <f t="shared" si="13"/>
        <v>276068514.1</v>
      </c>
      <c r="C334" s="8">
        <f t="shared" si="14"/>
        <v>0.0003493150685</v>
      </c>
      <c r="D334" s="8">
        <v>3477.14</v>
      </c>
      <c r="E334" s="8">
        <f t="shared" si="17"/>
        <v>0</v>
      </c>
      <c r="F334" s="53">
        <v>0.103437423</v>
      </c>
      <c r="G334" s="8">
        <f t="shared" si="16"/>
        <v>0.000002833902</v>
      </c>
      <c r="H334" s="8">
        <f t="shared" si="11"/>
        <v>3477.14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54">
        <f t="shared" si="12"/>
        <v>44116</v>
      </c>
      <c r="B335" s="8">
        <f t="shared" si="13"/>
        <v>276164949</v>
      </c>
      <c r="C335" s="8">
        <f t="shared" si="14"/>
        <v>0.0003493150685</v>
      </c>
      <c r="D335" s="8">
        <v>3534.22</v>
      </c>
      <c r="E335" s="8">
        <f t="shared" si="17"/>
        <v>0.01641578999</v>
      </c>
      <c r="F335" s="53">
        <v>0.111749341</v>
      </c>
      <c r="G335" s="8">
        <f t="shared" si="16"/>
        <v>0.000003061625781</v>
      </c>
      <c r="H335" s="8">
        <f t="shared" si="11"/>
        <v>3534.22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54">
        <f t="shared" si="12"/>
        <v>44117</v>
      </c>
      <c r="B336" s="8">
        <f t="shared" si="13"/>
        <v>276261417.6</v>
      </c>
      <c r="C336" s="8">
        <f t="shared" si="14"/>
        <v>0.0003493150685</v>
      </c>
      <c r="D336" s="8">
        <v>3511.93</v>
      </c>
      <c r="E336" s="8">
        <f t="shared" si="17"/>
        <v>-0.006306907889</v>
      </c>
      <c r="F336" s="53">
        <v>0.098742255</v>
      </c>
      <c r="G336" s="8">
        <f t="shared" si="16"/>
        <v>0.00000270526726</v>
      </c>
      <c r="H336" s="8">
        <f t="shared" si="11"/>
        <v>3511.93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54">
        <f t="shared" si="12"/>
        <v>44118</v>
      </c>
      <c r="B337" s="8">
        <f t="shared" si="13"/>
        <v>276357919.8</v>
      </c>
      <c r="C337" s="8">
        <f t="shared" si="14"/>
        <v>0.0003493150685</v>
      </c>
      <c r="D337" s="8">
        <v>3488.67</v>
      </c>
      <c r="E337" s="8">
        <f t="shared" si="17"/>
        <v>-0.006623138844</v>
      </c>
      <c r="F337" s="53">
        <v>0.105589202</v>
      </c>
      <c r="G337" s="8">
        <f t="shared" si="16"/>
        <v>0.000002892854849</v>
      </c>
      <c r="H337" s="8">
        <f t="shared" si="11"/>
        <v>3488.67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54">
        <f t="shared" si="12"/>
        <v>44119</v>
      </c>
      <c r="B338" s="8">
        <f t="shared" si="13"/>
        <v>276454455.8</v>
      </c>
      <c r="C338" s="8">
        <f t="shared" si="14"/>
        <v>0.0003493150685</v>
      </c>
      <c r="D338" s="8">
        <v>3483.34</v>
      </c>
      <c r="E338" s="8">
        <f t="shared" si="17"/>
        <v>-0.001527802859</v>
      </c>
      <c r="F338" s="53">
        <v>0.101448592</v>
      </c>
      <c r="G338" s="8">
        <f t="shared" si="16"/>
        <v>0.000002779413479</v>
      </c>
      <c r="H338" s="8">
        <f t="shared" si="11"/>
        <v>3483.34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54">
        <f t="shared" si="12"/>
        <v>44120</v>
      </c>
      <c r="B339" s="8">
        <f t="shared" si="13"/>
        <v>276551025.5</v>
      </c>
      <c r="C339" s="8">
        <f t="shared" si="14"/>
        <v>0.0003493150685</v>
      </c>
      <c r="D339" s="8">
        <v>3483.81</v>
      </c>
      <c r="E339" s="8">
        <f t="shared" si="17"/>
        <v>0.0001349279714</v>
      </c>
      <c r="F339" s="53">
        <v>0.101259772</v>
      </c>
      <c r="G339" s="8">
        <f t="shared" si="16"/>
        <v>0.000002774240329</v>
      </c>
      <c r="H339" s="8">
        <f t="shared" si="11"/>
        <v>3483.81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54">
        <f t="shared" si="12"/>
        <v>44121</v>
      </c>
      <c r="B340" s="8">
        <f t="shared" si="13"/>
        <v>276647629</v>
      </c>
      <c r="C340" s="8">
        <f t="shared" si="14"/>
        <v>0.0003493150685</v>
      </c>
      <c r="D340" s="8">
        <v>3483.81</v>
      </c>
      <c r="E340" s="8">
        <f t="shared" si="17"/>
        <v>0</v>
      </c>
      <c r="F340" s="53">
        <v>0.084491621</v>
      </c>
      <c r="G340" s="8">
        <f t="shared" si="16"/>
        <v>0.000002314838932</v>
      </c>
      <c r="H340" s="8">
        <f t="shared" si="11"/>
        <v>3483.81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54">
        <f t="shared" si="12"/>
        <v>44122</v>
      </c>
      <c r="B341" s="8">
        <f t="shared" si="13"/>
        <v>276744266.2</v>
      </c>
      <c r="C341" s="8">
        <f t="shared" si="14"/>
        <v>0.0003493150685</v>
      </c>
      <c r="D341" s="8">
        <v>3483.81</v>
      </c>
      <c r="E341" s="8">
        <f t="shared" si="17"/>
        <v>0</v>
      </c>
      <c r="F341" s="53">
        <v>0.091249883</v>
      </c>
      <c r="G341" s="8">
        <f t="shared" si="16"/>
        <v>0.000002499996795</v>
      </c>
      <c r="H341" s="8">
        <f t="shared" si="11"/>
        <v>3483.81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54">
        <f t="shared" si="12"/>
        <v>44123</v>
      </c>
      <c r="B342" s="8">
        <f t="shared" si="13"/>
        <v>276840937.1</v>
      </c>
      <c r="C342" s="8">
        <f t="shared" si="14"/>
        <v>0.0003493150685</v>
      </c>
      <c r="D342" s="8">
        <v>3426.92</v>
      </c>
      <c r="E342" s="8">
        <f t="shared" si="17"/>
        <v>-0.01632982281</v>
      </c>
      <c r="F342" s="53">
        <v>0.112688254</v>
      </c>
      <c r="G342" s="8">
        <f t="shared" si="16"/>
        <v>0.000003087349425</v>
      </c>
      <c r="H342" s="8">
        <f t="shared" si="11"/>
        <v>3426.92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54">
        <f t="shared" si="12"/>
        <v>44124</v>
      </c>
      <c r="B343" s="8">
        <f t="shared" si="13"/>
        <v>276937641.8</v>
      </c>
      <c r="C343" s="8">
        <f t="shared" si="14"/>
        <v>0.0003493150685</v>
      </c>
      <c r="D343" s="8">
        <v>3443.12</v>
      </c>
      <c r="E343" s="8">
        <f t="shared" si="17"/>
        <v>0.004727276972</v>
      </c>
      <c r="F343" s="53">
        <v>0.103979042</v>
      </c>
      <c r="G343" s="8">
        <f t="shared" si="16"/>
        <v>0.000002848740877</v>
      </c>
      <c r="H343" s="8">
        <f t="shared" si="11"/>
        <v>3443.12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54">
        <f t="shared" si="12"/>
        <v>44125</v>
      </c>
      <c r="B344" s="8">
        <f t="shared" si="13"/>
        <v>277034380.3</v>
      </c>
      <c r="C344" s="8">
        <f t="shared" si="14"/>
        <v>0.0003493150685</v>
      </c>
      <c r="D344" s="8">
        <v>3435.56</v>
      </c>
      <c r="E344" s="8">
        <f t="shared" si="17"/>
        <v>-0.002195682985</v>
      </c>
      <c r="F344" s="53">
        <v>0.093994391</v>
      </c>
      <c r="G344" s="8">
        <f t="shared" si="16"/>
        <v>0.000002575188795</v>
      </c>
      <c r="H344" s="8">
        <f t="shared" si="11"/>
        <v>3435.56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54">
        <f t="shared" si="12"/>
        <v>44126</v>
      </c>
      <c r="B345" s="8">
        <f t="shared" si="13"/>
        <v>277131152.6</v>
      </c>
      <c r="C345" s="8">
        <f t="shared" si="14"/>
        <v>0.0003493150685</v>
      </c>
      <c r="D345" s="8">
        <v>3453.49</v>
      </c>
      <c r="E345" s="8">
        <f t="shared" si="17"/>
        <v>0.005218945383</v>
      </c>
      <c r="F345" s="53">
        <v>0.116725555</v>
      </c>
      <c r="G345" s="8">
        <f t="shared" si="16"/>
        <v>0.000003197960411</v>
      </c>
      <c r="H345" s="8">
        <f t="shared" si="11"/>
        <v>3453.49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54">
        <f t="shared" si="12"/>
        <v>44127</v>
      </c>
      <c r="B346" s="8">
        <f t="shared" si="13"/>
        <v>277227958.7</v>
      </c>
      <c r="C346" s="8">
        <f t="shared" si="14"/>
        <v>0.0003493150685</v>
      </c>
      <c r="D346" s="8">
        <v>3465.39</v>
      </c>
      <c r="E346" s="8">
        <f t="shared" si="17"/>
        <v>0.003445789622</v>
      </c>
      <c r="F346" s="53">
        <v>0.078273991</v>
      </c>
      <c r="G346" s="8">
        <f t="shared" si="16"/>
        <v>0.000002144492904</v>
      </c>
      <c r="H346" s="8">
        <f t="shared" si="11"/>
        <v>3465.39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54">
        <f t="shared" si="12"/>
        <v>44128</v>
      </c>
      <c r="B347" s="8">
        <f t="shared" si="13"/>
        <v>277324798.6</v>
      </c>
      <c r="C347" s="8">
        <f t="shared" si="14"/>
        <v>0.0003493150685</v>
      </c>
      <c r="D347" s="8">
        <v>3465.39</v>
      </c>
      <c r="E347" s="8">
        <f t="shared" si="17"/>
        <v>0</v>
      </c>
      <c r="F347" s="53">
        <v>0.112898691</v>
      </c>
      <c r="G347" s="8">
        <f t="shared" si="16"/>
        <v>0.000003093114822</v>
      </c>
      <c r="H347" s="8">
        <f t="shared" si="11"/>
        <v>3465.39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54">
        <f t="shared" si="12"/>
        <v>44129</v>
      </c>
      <c r="B348" s="8">
        <f t="shared" si="13"/>
        <v>277421672.3</v>
      </c>
      <c r="C348" s="8">
        <f t="shared" si="14"/>
        <v>0.0003493150685</v>
      </c>
      <c r="D348" s="8">
        <v>3465.39</v>
      </c>
      <c r="E348" s="8">
        <f t="shared" si="17"/>
        <v>0</v>
      </c>
      <c r="F348" s="53">
        <v>0.094554988</v>
      </c>
      <c r="G348" s="8">
        <f t="shared" si="16"/>
        <v>0.000002590547616</v>
      </c>
      <c r="H348" s="8">
        <f t="shared" si="11"/>
        <v>3465.39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54">
        <f t="shared" si="12"/>
        <v>44130</v>
      </c>
      <c r="B349" s="8">
        <f t="shared" si="13"/>
        <v>277518579.9</v>
      </c>
      <c r="C349" s="8">
        <f t="shared" si="14"/>
        <v>0.0003493150685</v>
      </c>
      <c r="D349" s="8">
        <v>3400.97</v>
      </c>
      <c r="E349" s="8">
        <f t="shared" si="17"/>
        <v>-0.01858953826</v>
      </c>
      <c r="F349" s="53">
        <v>0.105866636</v>
      </c>
      <c r="G349" s="8">
        <f t="shared" si="16"/>
        <v>0.000002900455781</v>
      </c>
      <c r="H349" s="8">
        <f t="shared" si="11"/>
        <v>3400.97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54">
        <f t="shared" si="12"/>
        <v>44131</v>
      </c>
      <c r="B350" s="8">
        <f t="shared" si="13"/>
        <v>277615521.3</v>
      </c>
      <c r="C350" s="8">
        <f t="shared" si="14"/>
        <v>0.0003493150685</v>
      </c>
      <c r="D350" s="8">
        <v>3390.68</v>
      </c>
      <c r="E350" s="8">
        <f t="shared" si="17"/>
        <v>-0.0030256074</v>
      </c>
      <c r="F350" s="53">
        <v>0.103908396</v>
      </c>
      <c r="G350" s="8">
        <f t="shared" si="16"/>
        <v>0.00000284680537</v>
      </c>
      <c r="H350" s="8">
        <f t="shared" si="11"/>
        <v>3390.68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54">
        <f t="shared" si="12"/>
        <v>44132</v>
      </c>
      <c r="B351" s="8">
        <f t="shared" si="13"/>
        <v>277712496.6</v>
      </c>
      <c r="C351" s="8">
        <f t="shared" si="14"/>
        <v>0.0003493150685</v>
      </c>
      <c r="D351" s="8">
        <v>3271.03</v>
      </c>
      <c r="E351" s="8">
        <f t="shared" si="17"/>
        <v>-0.03528790685</v>
      </c>
      <c r="F351" s="53">
        <v>0.078154736</v>
      </c>
      <c r="G351" s="8">
        <f t="shared" si="16"/>
        <v>0.000002141225644</v>
      </c>
      <c r="H351" s="8">
        <f t="shared" si="11"/>
        <v>3271.03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54">
        <f t="shared" si="12"/>
        <v>44133</v>
      </c>
      <c r="B352" s="8">
        <f t="shared" si="13"/>
        <v>277809505.7</v>
      </c>
      <c r="C352" s="8">
        <f t="shared" si="14"/>
        <v>0.0003493150685</v>
      </c>
      <c r="D352" s="8">
        <v>3310.11</v>
      </c>
      <c r="E352" s="8">
        <f t="shared" si="17"/>
        <v>0.01194730712</v>
      </c>
      <c r="F352" s="53">
        <v>0.119510761</v>
      </c>
      <c r="G352" s="8">
        <f t="shared" si="16"/>
        <v>0.000003274267425</v>
      </c>
      <c r="H352" s="8">
        <f t="shared" si="11"/>
        <v>3310.11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54">
        <f t="shared" si="12"/>
        <v>44134</v>
      </c>
      <c r="B353" s="8">
        <f t="shared" si="13"/>
        <v>277906548.8</v>
      </c>
      <c r="C353" s="8">
        <f t="shared" si="14"/>
        <v>0.0003493150685</v>
      </c>
      <c r="D353" s="8">
        <v>3269.96</v>
      </c>
      <c r="E353" s="8">
        <f t="shared" si="17"/>
        <v>-0.01212950627</v>
      </c>
      <c r="F353" s="53">
        <v>0.090203032</v>
      </c>
      <c r="G353" s="8">
        <f t="shared" si="16"/>
        <v>0.000002471315945</v>
      </c>
      <c r="H353" s="8">
        <f t="shared" si="11"/>
        <v>3269.96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54">
        <f t="shared" si="12"/>
        <v>44135</v>
      </c>
      <c r="B354" s="8">
        <f t="shared" si="13"/>
        <v>278003625.7</v>
      </c>
      <c r="C354" s="8">
        <f t="shared" si="14"/>
        <v>0.0003493150685</v>
      </c>
      <c r="D354" s="8">
        <v>3269.96</v>
      </c>
      <c r="E354" s="8">
        <f t="shared" si="17"/>
        <v>0</v>
      </c>
      <c r="F354" s="53">
        <v>0.089156753</v>
      </c>
      <c r="G354" s="8">
        <f t="shared" si="16"/>
        <v>0.000002442650767</v>
      </c>
      <c r="H354" s="8">
        <f t="shared" si="11"/>
        <v>3269.96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54">
        <f t="shared" si="12"/>
        <v>44136</v>
      </c>
      <c r="B355" s="8">
        <f t="shared" si="13"/>
        <v>278100736.6</v>
      </c>
      <c r="C355" s="8">
        <f t="shared" si="14"/>
        <v>0.0003493150685</v>
      </c>
      <c r="D355" s="8">
        <v>3269.96</v>
      </c>
      <c r="E355" s="8">
        <f t="shared" si="17"/>
        <v>0</v>
      </c>
      <c r="F355" s="53">
        <v>0.105658123</v>
      </c>
      <c r="G355" s="8">
        <f t="shared" si="16"/>
        <v>0.000002894743096</v>
      </c>
      <c r="H355" s="8">
        <f t="shared" si="11"/>
        <v>3269.96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54">
        <f t="shared" si="12"/>
        <v>44137</v>
      </c>
      <c r="B356" s="8">
        <f t="shared" si="13"/>
        <v>278197881.4</v>
      </c>
      <c r="C356" s="8">
        <f t="shared" si="14"/>
        <v>0.0003493150685</v>
      </c>
      <c r="D356" s="8">
        <v>3310.24</v>
      </c>
      <c r="E356" s="8">
        <f t="shared" si="17"/>
        <v>0.01231819349</v>
      </c>
      <c r="F356" s="53">
        <v>0.100611658</v>
      </c>
      <c r="G356" s="8">
        <f t="shared" si="16"/>
        <v>0.000002756483781</v>
      </c>
      <c r="H356" s="8">
        <f t="shared" si="11"/>
        <v>3310.24</v>
      </c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54">
        <f t="shared" si="12"/>
        <v>44138</v>
      </c>
      <c r="B357" s="8">
        <f t="shared" si="13"/>
        <v>278295060.1</v>
      </c>
      <c r="C357" s="8">
        <f t="shared" si="14"/>
        <v>0.0003493150685</v>
      </c>
      <c r="D357" s="8">
        <v>3369.16</v>
      </c>
      <c r="E357" s="8">
        <f t="shared" si="17"/>
        <v>0.01779931364</v>
      </c>
      <c r="F357" s="53">
        <v>0.107495014</v>
      </c>
      <c r="G357" s="8">
        <f t="shared" si="16"/>
        <v>0.000002945068877</v>
      </c>
      <c r="H357" s="8">
        <f t="shared" si="11"/>
        <v>3369.16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54">
        <f t="shared" si="12"/>
        <v>44139</v>
      </c>
      <c r="B358" s="8">
        <f t="shared" si="13"/>
        <v>278392272.7</v>
      </c>
      <c r="C358" s="8">
        <f t="shared" si="14"/>
        <v>0.0003493150685</v>
      </c>
      <c r="D358" s="8">
        <v>3443.44</v>
      </c>
      <c r="E358" s="8">
        <f t="shared" si="17"/>
        <v>0.02204703843</v>
      </c>
      <c r="F358" s="53">
        <v>0.096155062</v>
      </c>
      <c r="G358" s="8">
        <f t="shared" si="16"/>
        <v>0.00000263438526</v>
      </c>
      <c r="H358" s="8">
        <f t="shared" si="11"/>
        <v>3443.44</v>
      </c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54">
        <f t="shared" si="12"/>
        <v>44140</v>
      </c>
      <c r="B359" s="8">
        <f t="shared" si="13"/>
        <v>278489519.4</v>
      </c>
      <c r="C359" s="8">
        <f t="shared" si="14"/>
        <v>0.0003493150685</v>
      </c>
      <c r="D359" s="8">
        <v>3510.45</v>
      </c>
      <c r="E359" s="8">
        <f t="shared" si="17"/>
        <v>0.01946019097</v>
      </c>
      <c r="F359" s="53">
        <v>0.093817352</v>
      </c>
      <c r="G359" s="8">
        <f t="shared" si="16"/>
        <v>0.000002570338411</v>
      </c>
      <c r="H359" s="8">
        <f t="shared" si="11"/>
        <v>3510.45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54">
        <f t="shared" si="12"/>
        <v>44141</v>
      </c>
      <c r="B360" s="8">
        <f t="shared" si="13"/>
        <v>278586799.9</v>
      </c>
      <c r="C360" s="8">
        <f t="shared" si="14"/>
        <v>0.0003493150685</v>
      </c>
      <c r="D360" s="8">
        <v>3509.44</v>
      </c>
      <c r="E360" s="8">
        <f t="shared" si="17"/>
        <v>-0.0002877124015</v>
      </c>
      <c r="F360" s="53">
        <v>0.114353701</v>
      </c>
      <c r="G360" s="8">
        <f t="shared" si="16"/>
        <v>0.00000313297811</v>
      </c>
      <c r="H360" s="8">
        <f t="shared" si="11"/>
        <v>3509.44</v>
      </c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54">
        <f t="shared" si="12"/>
        <v>44142</v>
      </c>
      <c r="B361" s="8">
        <f t="shared" si="13"/>
        <v>278684114.5</v>
      </c>
      <c r="C361" s="8">
        <f t="shared" si="14"/>
        <v>0.0003493150685</v>
      </c>
      <c r="D361" s="8">
        <v>3509.44</v>
      </c>
      <c r="E361" s="8">
        <f t="shared" si="17"/>
        <v>0</v>
      </c>
      <c r="F361" s="53">
        <v>0.129233189</v>
      </c>
      <c r="G361" s="8">
        <f t="shared" si="16"/>
        <v>0.000003540635315</v>
      </c>
      <c r="H361" s="8">
        <f t="shared" si="11"/>
        <v>3509.44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54">
        <f t="shared" si="12"/>
        <v>44143</v>
      </c>
      <c r="B362" s="8">
        <f t="shared" si="13"/>
        <v>278781463.1</v>
      </c>
      <c r="C362" s="8">
        <f t="shared" si="14"/>
        <v>0.0003493150685</v>
      </c>
      <c r="D362" s="8">
        <v>3509.44</v>
      </c>
      <c r="E362" s="8">
        <f t="shared" si="17"/>
        <v>0</v>
      </c>
      <c r="F362" s="53">
        <v>0.122631812</v>
      </c>
      <c r="G362" s="8">
        <f t="shared" si="16"/>
        <v>0.000003359775671</v>
      </c>
      <c r="H362" s="8">
        <f t="shared" si="11"/>
        <v>3509.44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54">
        <f t="shared" si="12"/>
        <v>44144</v>
      </c>
      <c r="B363" s="8">
        <f t="shared" si="13"/>
        <v>278878845.6</v>
      </c>
      <c r="C363" s="8">
        <f t="shared" si="14"/>
        <v>0.0003493150685</v>
      </c>
      <c r="D363" s="8">
        <v>3550.5</v>
      </c>
      <c r="E363" s="8">
        <f t="shared" si="17"/>
        <v>0.01169987234</v>
      </c>
      <c r="F363" s="53">
        <v>0.091735935</v>
      </c>
      <c r="G363" s="8">
        <f t="shared" si="16"/>
        <v>0.000002513313288</v>
      </c>
      <c r="H363" s="8">
        <f t="shared" si="11"/>
        <v>3550.5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54">
        <f t="shared" si="12"/>
        <v>44145</v>
      </c>
      <c r="B364" s="8">
        <f t="shared" si="13"/>
        <v>278976262.2</v>
      </c>
      <c r="C364" s="8">
        <f t="shared" si="14"/>
        <v>0.0003493150685</v>
      </c>
      <c r="D364" s="8">
        <v>3545.53</v>
      </c>
      <c r="E364" s="8">
        <f t="shared" si="17"/>
        <v>-0.001399802845</v>
      </c>
      <c r="F364" s="53">
        <v>0.107257489</v>
      </c>
      <c r="G364" s="8">
        <f t="shared" si="16"/>
        <v>0.000002938561342</v>
      </c>
      <c r="H364" s="8">
        <f t="shared" si="11"/>
        <v>3545.53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54">
        <f t="shared" si="12"/>
        <v>44146</v>
      </c>
      <c r="B365" s="8">
        <f t="shared" si="13"/>
        <v>279073712.8</v>
      </c>
      <c r="C365" s="8">
        <f t="shared" si="14"/>
        <v>0.0003493150685</v>
      </c>
      <c r="D365" s="8">
        <v>3572.66</v>
      </c>
      <c r="E365" s="8">
        <f t="shared" si="17"/>
        <v>0.007651888434</v>
      </c>
      <c r="F365" s="53">
        <v>0.08820845</v>
      </c>
      <c r="G365" s="8">
        <f t="shared" si="16"/>
        <v>0.000002416669863</v>
      </c>
      <c r="H365" s="8">
        <f t="shared" si="11"/>
        <v>3572.66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54">
        <f t="shared" si="12"/>
        <v>44147</v>
      </c>
      <c r="B366" s="8">
        <f t="shared" si="13"/>
        <v>279171197.5</v>
      </c>
      <c r="C366" s="8">
        <f t="shared" si="14"/>
        <v>0.0003493150685</v>
      </c>
      <c r="D366" s="8">
        <v>3537.01</v>
      </c>
      <c r="E366" s="8">
        <f t="shared" si="17"/>
        <v>-0.009978559393</v>
      </c>
      <c r="F366" s="53">
        <v>0.102885956</v>
      </c>
      <c r="G366" s="8">
        <f t="shared" si="16"/>
        <v>0.000002818793315</v>
      </c>
      <c r="H366" s="8">
        <f t="shared" si="11"/>
        <v>3537.01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54">
        <f t="shared" si="12"/>
        <v>44148</v>
      </c>
      <c r="B367" s="8">
        <f t="shared" si="13"/>
        <v>279268716.2</v>
      </c>
      <c r="C367" s="8">
        <f t="shared" si="14"/>
        <v>0.0003493150685</v>
      </c>
      <c r="D367" s="8">
        <v>3585.15</v>
      </c>
      <c r="E367" s="8">
        <f t="shared" si="17"/>
        <v>0.01361036582</v>
      </c>
      <c r="F367" s="53">
        <v>0.11577809</v>
      </c>
      <c r="G367" s="8">
        <f t="shared" si="16"/>
        <v>0.000003172002466</v>
      </c>
      <c r="H367" s="8">
        <f t="shared" si="11"/>
        <v>3585.15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54">
        <f t="shared" si="12"/>
        <v>44149</v>
      </c>
      <c r="B368" s="8">
        <f t="shared" si="13"/>
        <v>279366269</v>
      </c>
      <c r="C368" s="8">
        <f t="shared" si="14"/>
        <v>0.0003493150685</v>
      </c>
      <c r="D368" s="8">
        <v>3585.15</v>
      </c>
      <c r="E368" s="8">
        <f t="shared" si="17"/>
        <v>0</v>
      </c>
      <c r="F368" s="53">
        <v>0.106910055</v>
      </c>
      <c r="G368" s="8">
        <f t="shared" si="16"/>
        <v>0.000002929042603</v>
      </c>
      <c r="H368" s="8">
        <f t="shared" si="11"/>
        <v>3585.15</v>
      </c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54">
        <f t="shared" si="12"/>
        <v>44150</v>
      </c>
      <c r="B369" s="8">
        <f t="shared" si="13"/>
        <v>279463855.8</v>
      </c>
      <c r="C369" s="8">
        <f t="shared" si="14"/>
        <v>0.0003493150685</v>
      </c>
      <c r="D369" s="8">
        <v>3585.15</v>
      </c>
      <c r="E369" s="8">
        <f t="shared" si="17"/>
        <v>0</v>
      </c>
      <c r="F369" s="53">
        <v>0.110767814</v>
      </c>
      <c r="G369" s="8">
        <f t="shared" si="16"/>
        <v>0.00000303473463</v>
      </c>
      <c r="H369" s="8">
        <f t="shared" si="11"/>
        <v>3585.15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54">
        <f t="shared" si="12"/>
        <v>44151</v>
      </c>
      <c r="B370" s="8">
        <f t="shared" si="13"/>
        <v>279561476.7</v>
      </c>
      <c r="C370" s="8">
        <f t="shared" si="14"/>
        <v>0.0003493150685</v>
      </c>
      <c r="D370" s="8">
        <v>3626.91</v>
      </c>
      <c r="E370" s="8">
        <f t="shared" si="17"/>
        <v>0.0116480482</v>
      </c>
      <c r="F370" s="53">
        <v>0.09362045</v>
      </c>
      <c r="G370" s="8">
        <f t="shared" si="16"/>
        <v>0.000002564943836</v>
      </c>
      <c r="H370" s="8">
        <f t="shared" si="11"/>
        <v>3626.91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54">
        <f t="shared" si="12"/>
        <v>44152</v>
      </c>
      <c r="B371" s="8">
        <f t="shared" si="13"/>
        <v>279659131.8</v>
      </c>
      <c r="C371" s="8">
        <f t="shared" si="14"/>
        <v>0.0003493150685</v>
      </c>
      <c r="D371" s="8">
        <v>3609.53</v>
      </c>
      <c r="E371" s="8">
        <f t="shared" si="17"/>
        <v>-0.004791957893</v>
      </c>
      <c r="F371" s="53">
        <v>0.111856666</v>
      </c>
      <c r="G371" s="8">
        <f t="shared" si="16"/>
        <v>0.000003064566192</v>
      </c>
      <c r="H371" s="8">
        <f t="shared" si="11"/>
        <v>3609.53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54">
        <f t="shared" si="12"/>
        <v>44153</v>
      </c>
      <c r="B372" s="8">
        <f t="shared" si="13"/>
        <v>279756820.9</v>
      </c>
      <c r="C372" s="8">
        <f t="shared" si="14"/>
        <v>0.0003493150685</v>
      </c>
      <c r="D372" s="8">
        <v>3567.79</v>
      </c>
      <c r="E372" s="8">
        <f t="shared" si="17"/>
        <v>-0.01156383241</v>
      </c>
      <c r="F372" s="53">
        <v>0.100957971</v>
      </c>
      <c r="G372" s="8">
        <f t="shared" si="16"/>
        <v>0.000002765971808</v>
      </c>
      <c r="H372" s="8">
        <f t="shared" si="11"/>
        <v>3567.79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54">
        <f t="shared" si="12"/>
        <v>44154</v>
      </c>
      <c r="B373" s="8">
        <f t="shared" si="13"/>
        <v>279854544.2</v>
      </c>
      <c r="C373" s="8">
        <f t="shared" si="14"/>
        <v>0.0003493150685</v>
      </c>
      <c r="D373" s="8">
        <v>3581.87</v>
      </c>
      <c r="E373" s="8">
        <f t="shared" si="17"/>
        <v>0.003946420613</v>
      </c>
      <c r="F373" s="53">
        <v>0.097522285</v>
      </c>
      <c r="G373" s="8">
        <f t="shared" si="16"/>
        <v>0.000002671843425</v>
      </c>
      <c r="H373" s="8">
        <f t="shared" si="11"/>
        <v>3581.87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54">
        <f t="shared" si="12"/>
        <v>44155</v>
      </c>
      <c r="B374" s="8">
        <f t="shared" si="13"/>
        <v>279952301.6</v>
      </c>
      <c r="C374" s="8">
        <f t="shared" si="14"/>
        <v>0.0003493150685</v>
      </c>
      <c r="D374" s="8">
        <v>3557.54</v>
      </c>
      <c r="E374" s="8">
        <f t="shared" si="17"/>
        <v>-0.006792541326</v>
      </c>
      <c r="F374" s="53">
        <v>0.082139485</v>
      </c>
      <c r="G374" s="8">
        <f t="shared" si="16"/>
        <v>0.000002250396849</v>
      </c>
      <c r="H374" s="8">
        <f t="shared" si="11"/>
        <v>3557.54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54">
        <f t="shared" si="12"/>
        <v>44156</v>
      </c>
      <c r="B375" s="8">
        <f t="shared" si="13"/>
        <v>280050093.2</v>
      </c>
      <c r="C375" s="8">
        <f t="shared" si="14"/>
        <v>0.0003493150685</v>
      </c>
      <c r="D375" s="8">
        <v>3557.54</v>
      </c>
      <c r="E375" s="8">
        <f t="shared" si="17"/>
        <v>0</v>
      </c>
      <c r="F375" s="53">
        <v>0.094870388</v>
      </c>
      <c r="G375" s="8">
        <f t="shared" si="16"/>
        <v>0.000002599188712</v>
      </c>
      <c r="H375" s="8">
        <f t="shared" si="11"/>
        <v>3557.54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54">
        <f t="shared" si="12"/>
        <v>44157</v>
      </c>
      <c r="B376" s="8">
        <f t="shared" si="13"/>
        <v>280147918.9</v>
      </c>
      <c r="C376" s="8">
        <f t="shared" si="14"/>
        <v>0.0003493150685</v>
      </c>
      <c r="D376" s="8">
        <v>3557.54</v>
      </c>
      <c r="E376" s="8">
        <f t="shared" si="17"/>
        <v>0</v>
      </c>
      <c r="F376" s="53">
        <v>0.102950136</v>
      </c>
      <c r="G376" s="8">
        <f t="shared" si="16"/>
        <v>0.000002820551671</v>
      </c>
      <c r="H376" s="8">
        <f t="shared" si="11"/>
        <v>3557.54</v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54">
        <f t="shared" si="12"/>
        <v>44158</v>
      </c>
      <c r="B377" s="8">
        <f t="shared" si="13"/>
        <v>280245778.8</v>
      </c>
      <c r="C377" s="8">
        <f t="shared" si="14"/>
        <v>0.0003493150685</v>
      </c>
      <c r="D377" s="8">
        <v>3577.59</v>
      </c>
      <c r="E377" s="8">
        <f t="shared" si="17"/>
        <v>0.005635916954</v>
      </c>
      <c r="F377" s="53">
        <v>0.089065452</v>
      </c>
      <c r="G377" s="8">
        <f t="shared" si="16"/>
        <v>0.00000244014937</v>
      </c>
      <c r="H377" s="8">
        <f t="shared" si="11"/>
        <v>3577.59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54">
        <f t="shared" si="12"/>
        <v>44159</v>
      </c>
      <c r="B378" s="8">
        <f t="shared" si="13"/>
        <v>280343672.8</v>
      </c>
      <c r="C378" s="8">
        <f t="shared" si="14"/>
        <v>0.0003493150685</v>
      </c>
      <c r="D378" s="8">
        <v>3635.41</v>
      </c>
      <c r="E378" s="8">
        <f t="shared" si="17"/>
        <v>0.0161617178</v>
      </c>
      <c r="F378" s="53">
        <v>0.09298714</v>
      </c>
      <c r="G378" s="8">
        <f t="shared" si="16"/>
        <v>0.000002547592877</v>
      </c>
      <c r="H378" s="8">
        <f t="shared" si="11"/>
        <v>3635.41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54">
        <f t="shared" si="12"/>
        <v>44160</v>
      </c>
      <c r="B379" s="8">
        <f t="shared" si="13"/>
        <v>280441601.1</v>
      </c>
      <c r="C379" s="8">
        <f t="shared" si="14"/>
        <v>0.0003493150685</v>
      </c>
      <c r="D379" s="8">
        <v>3629.65</v>
      </c>
      <c r="E379" s="8">
        <f t="shared" si="17"/>
        <v>-0.001584415513</v>
      </c>
      <c r="F379" s="53">
        <v>0.08902259</v>
      </c>
      <c r="G379" s="8">
        <f t="shared" si="16"/>
        <v>0.000002438975068</v>
      </c>
      <c r="H379" s="8">
        <f t="shared" si="11"/>
        <v>3629.65</v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54">
        <f t="shared" si="12"/>
        <v>44161</v>
      </c>
      <c r="B380" s="8">
        <f t="shared" si="13"/>
        <v>280539563.6</v>
      </c>
      <c r="C380" s="8">
        <f t="shared" si="14"/>
        <v>0.0003493150685</v>
      </c>
      <c r="D380" s="8">
        <v>3629.65</v>
      </c>
      <c r="E380" s="8">
        <f t="shared" si="17"/>
        <v>0</v>
      </c>
      <c r="F380" s="53">
        <v>0.102416892</v>
      </c>
      <c r="G380" s="8">
        <f t="shared" si="16"/>
        <v>0.000002805942247</v>
      </c>
      <c r="H380" s="8">
        <f t="shared" si="11"/>
        <v>3629.65</v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54">
        <f t="shared" si="12"/>
        <v>44162</v>
      </c>
      <c r="B381" s="8">
        <f t="shared" si="13"/>
        <v>280637560.3</v>
      </c>
      <c r="C381" s="8">
        <f t="shared" si="14"/>
        <v>0.0003493150685</v>
      </c>
      <c r="D381" s="8">
        <v>3638.35</v>
      </c>
      <c r="E381" s="8">
        <f t="shared" si="17"/>
        <v>0.002396925323</v>
      </c>
      <c r="F381" s="53">
        <v>0.097873472</v>
      </c>
      <c r="G381" s="8">
        <f t="shared" si="16"/>
        <v>0.000002681464986</v>
      </c>
      <c r="H381" s="8">
        <f t="shared" si="11"/>
        <v>3638.35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54">
        <f t="shared" si="12"/>
        <v>44163</v>
      </c>
      <c r="B382" s="8">
        <f t="shared" si="13"/>
        <v>280735591.2</v>
      </c>
      <c r="C382" s="8">
        <f t="shared" si="14"/>
        <v>0.0003493150685</v>
      </c>
      <c r="D382" s="8">
        <v>3638.35</v>
      </c>
      <c r="E382" s="8">
        <f t="shared" si="17"/>
        <v>0</v>
      </c>
      <c r="F382" s="53">
        <v>0.089203422</v>
      </c>
      <c r="G382" s="8">
        <f t="shared" si="16"/>
        <v>0.00000244392937</v>
      </c>
      <c r="H382" s="8">
        <f t="shared" si="11"/>
        <v>3638.35</v>
      </c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54">
        <f t="shared" si="12"/>
        <v>44164</v>
      </c>
      <c r="B383" s="8">
        <f t="shared" si="13"/>
        <v>280833656.4</v>
      </c>
      <c r="C383" s="8">
        <f t="shared" si="14"/>
        <v>0.0003493150685</v>
      </c>
      <c r="D383" s="8">
        <v>3638.35</v>
      </c>
      <c r="E383" s="8">
        <f t="shared" si="17"/>
        <v>0</v>
      </c>
      <c r="F383" s="53">
        <v>0.099828302</v>
      </c>
      <c r="G383" s="8">
        <f t="shared" si="16"/>
        <v>0.000002735021973</v>
      </c>
      <c r="H383" s="8">
        <f t="shared" si="11"/>
        <v>3638.35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54">
        <f t="shared" si="12"/>
        <v>44165</v>
      </c>
      <c r="B384" s="8">
        <f t="shared" si="13"/>
        <v>280931755.8</v>
      </c>
      <c r="C384" s="8">
        <f t="shared" si="14"/>
        <v>0.0003493150685</v>
      </c>
      <c r="D384" s="8">
        <v>3621.63</v>
      </c>
      <c r="E384" s="8">
        <f t="shared" si="17"/>
        <v>-0.004595489714</v>
      </c>
      <c r="F384" s="53">
        <v>0.076052461</v>
      </c>
      <c r="G384" s="8">
        <f t="shared" si="16"/>
        <v>0.000002083629068</v>
      </c>
      <c r="H384" s="8">
        <f t="shared" si="11"/>
        <v>3621.63</v>
      </c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54">
        <f t="shared" si="12"/>
        <v>44166</v>
      </c>
      <c r="B385" s="8">
        <f t="shared" si="13"/>
        <v>281029889.5</v>
      </c>
      <c r="C385" s="8">
        <f t="shared" si="14"/>
        <v>0.0003493150685</v>
      </c>
      <c r="D385" s="8">
        <v>3662.45</v>
      </c>
      <c r="E385" s="8">
        <f t="shared" si="17"/>
        <v>0.01127116795</v>
      </c>
      <c r="F385" s="53">
        <v>0.087702053</v>
      </c>
      <c r="G385" s="8">
        <f t="shared" si="16"/>
        <v>0.000002402795973</v>
      </c>
      <c r="H385" s="8">
        <f t="shared" si="11"/>
        <v>3662.45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54">
        <f t="shared" si="12"/>
        <v>44167</v>
      </c>
      <c r="B386" s="8">
        <f t="shared" si="13"/>
        <v>281128057.5</v>
      </c>
      <c r="C386" s="8">
        <f t="shared" si="14"/>
        <v>0.0003493150685</v>
      </c>
      <c r="D386" s="8">
        <v>3669.01</v>
      </c>
      <c r="E386" s="8">
        <f t="shared" si="17"/>
        <v>0.001791150732</v>
      </c>
      <c r="F386" s="53">
        <v>0.104719292</v>
      </c>
      <c r="G386" s="8">
        <f t="shared" si="16"/>
        <v>0.000002869021699</v>
      </c>
      <c r="H386" s="8">
        <f t="shared" si="11"/>
        <v>3669.01</v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54">
        <f t="shared" si="12"/>
        <v>44168</v>
      </c>
      <c r="B387" s="8">
        <f t="shared" si="13"/>
        <v>281226259.8</v>
      </c>
      <c r="C387" s="8">
        <f t="shared" si="14"/>
        <v>0.0003493150685</v>
      </c>
      <c r="D387" s="8">
        <v>3666.72</v>
      </c>
      <c r="E387" s="8">
        <f t="shared" si="17"/>
        <v>-0.0006241465681</v>
      </c>
      <c r="F387" s="53">
        <v>0.070143153</v>
      </c>
      <c r="G387" s="8">
        <f t="shared" si="16"/>
        <v>0.000001921730219</v>
      </c>
      <c r="H387" s="8">
        <f t="shared" si="11"/>
        <v>3666.72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54">
        <f t="shared" si="12"/>
        <v>44169</v>
      </c>
      <c r="B388" s="8">
        <f t="shared" si="13"/>
        <v>281324496.3</v>
      </c>
      <c r="C388" s="8">
        <f t="shared" si="14"/>
        <v>0.0003493150685</v>
      </c>
      <c r="D388" s="8">
        <v>3699.12</v>
      </c>
      <c r="E388" s="8">
        <f t="shared" si="17"/>
        <v>0.008836235109</v>
      </c>
      <c r="F388" s="53">
        <v>0.114257961</v>
      </c>
      <c r="G388" s="8">
        <f t="shared" si="16"/>
        <v>0.000003130355096</v>
      </c>
      <c r="H388" s="8">
        <f t="shared" si="11"/>
        <v>3699.12</v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54">
        <f t="shared" si="12"/>
        <v>44170</v>
      </c>
      <c r="B389" s="8">
        <f t="shared" si="13"/>
        <v>281422767.2</v>
      </c>
      <c r="C389" s="8">
        <f t="shared" si="14"/>
        <v>0.0003493150685</v>
      </c>
      <c r="D389" s="8">
        <v>3699.12</v>
      </c>
      <c r="E389" s="8">
        <f t="shared" si="17"/>
        <v>0</v>
      </c>
      <c r="F389" s="53">
        <v>0.114034214</v>
      </c>
      <c r="G389" s="8">
        <f t="shared" si="16"/>
        <v>0.000003124225041</v>
      </c>
      <c r="H389" s="8">
        <f t="shared" si="11"/>
        <v>3699.12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54">
        <f t="shared" si="12"/>
        <v>44171</v>
      </c>
      <c r="B390" s="8">
        <f t="shared" si="13"/>
        <v>281521072.4</v>
      </c>
      <c r="C390" s="8">
        <f t="shared" si="14"/>
        <v>0.0003493150685</v>
      </c>
      <c r="D390" s="8">
        <v>3699.12</v>
      </c>
      <c r="E390" s="8">
        <f t="shared" si="17"/>
        <v>0</v>
      </c>
      <c r="F390" s="53">
        <v>0.096649695</v>
      </c>
      <c r="G390" s="8">
        <f t="shared" si="16"/>
        <v>0.000002647936849</v>
      </c>
      <c r="H390" s="8">
        <f t="shared" si="11"/>
        <v>3699.12</v>
      </c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54">
        <f t="shared" si="12"/>
        <v>44172</v>
      </c>
      <c r="B391" s="8">
        <f t="shared" si="13"/>
        <v>281619412</v>
      </c>
      <c r="C391" s="8">
        <f t="shared" si="14"/>
        <v>0.0003493150685</v>
      </c>
      <c r="D391" s="8">
        <v>3691.96</v>
      </c>
      <c r="E391" s="8">
        <f t="shared" si="17"/>
        <v>-0.001935595493</v>
      </c>
      <c r="F391" s="53">
        <v>0.090959694</v>
      </c>
      <c r="G391" s="8">
        <f t="shared" si="16"/>
        <v>0.000002492046411</v>
      </c>
      <c r="H391" s="8">
        <f t="shared" si="11"/>
        <v>3691.96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54">
        <f t="shared" si="12"/>
        <v>44173</v>
      </c>
      <c r="B392" s="8">
        <f t="shared" si="13"/>
        <v>281717785.9</v>
      </c>
      <c r="C392" s="8">
        <f t="shared" si="14"/>
        <v>0.0003493150685</v>
      </c>
      <c r="D392" s="8">
        <v>3702.25</v>
      </c>
      <c r="E392" s="8">
        <f t="shared" si="17"/>
        <v>0.002787137455</v>
      </c>
      <c r="F392" s="53">
        <v>0.085109221</v>
      </c>
      <c r="G392" s="8">
        <f t="shared" si="16"/>
        <v>0.000002331759479</v>
      </c>
      <c r="H392" s="8">
        <f t="shared" si="11"/>
        <v>3702.25</v>
      </c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54">
        <f t="shared" si="12"/>
        <v>44174</v>
      </c>
      <c r="B393" s="8">
        <f t="shared" si="13"/>
        <v>281816194.1</v>
      </c>
      <c r="C393" s="8">
        <f t="shared" si="14"/>
        <v>0.0003493150685</v>
      </c>
      <c r="D393" s="8">
        <v>3672.82</v>
      </c>
      <c r="E393" s="8">
        <f t="shared" si="17"/>
        <v>-0.007949220069</v>
      </c>
      <c r="F393" s="53">
        <v>0.103104467</v>
      </c>
      <c r="G393" s="8">
        <f t="shared" si="16"/>
        <v>0.000002824779918</v>
      </c>
      <c r="H393" s="8">
        <f t="shared" si="11"/>
        <v>3672.82</v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54">
        <f t="shared" si="12"/>
        <v>44175</v>
      </c>
      <c r="B394" s="8">
        <f t="shared" si="13"/>
        <v>281914636.8</v>
      </c>
      <c r="C394" s="8">
        <f t="shared" si="14"/>
        <v>0.0003493150685</v>
      </c>
      <c r="D394" s="8">
        <v>3668.1</v>
      </c>
      <c r="E394" s="8">
        <f t="shared" si="17"/>
        <v>-0.001285116069</v>
      </c>
      <c r="F394" s="53">
        <v>0.100252733</v>
      </c>
      <c r="G394" s="8">
        <f t="shared" si="16"/>
        <v>0.000002746650219</v>
      </c>
      <c r="H394" s="8">
        <f t="shared" si="11"/>
        <v>3668.1</v>
      </c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54">
        <f t="shared" si="12"/>
        <v>44176</v>
      </c>
      <c r="B395" s="8">
        <f t="shared" si="13"/>
        <v>282013113.8</v>
      </c>
      <c r="C395" s="8">
        <f t="shared" si="14"/>
        <v>0.0003493150685</v>
      </c>
      <c r="D395" s="8">
        <v>3663.46</v>
      </c>
      <c r="E395" s="8">
        <f t="shared" si="17"/>
        <v>-0.001264960061</v>
      </c>
      <c r="F395" s="53">
        <v>0.095554824</v>
      </c>
      <c r="G395" s="8">
        <f t="shared" si="16"/>
        <v>0.000002617940384</v>
      </c>
      <c r="H395" s="8">
        <f t="shared" si="11"/>
        <v>3663.46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54">
        <f t="shared" si="12"/>
        <v>44177</v>
      </c>
      <c r="B396" s="8">
        <f t="shared" si="13"/>
        <v>282111625.3</v>
      </c>
      <c r="C396" s="8">
        <f t="shared" si="14"/>
        <v>0.0003493150685</v>
      </c>
      <c r="D396" s="8">
        <v>3663.46</v>
      </c>
      <c r="E396" s="8">
        <f t="shared" si="17"/>
        <v>0</v>
      </c>
      <c r="F396" s="53">
        <v>0.114070883</v>
      </c>
      <c r="G396" s="8">
        <f t="shared" si="16"/>
        <v>0.000003125229671</v>
      </c>
      <c r="H396" s="8">
        <f t="shared" si="11"/>
        <v>3663.46</v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54">
        <f t="shared" si="12"/>
        <v>44178</v>
      </c>
      <c r="B397" s="8">
        <f t="shared" si="13"/>
        <v>282210171.1</v>
      </c>
      <c r="C397" s="8">
        <f t="shared" si="14"/>
        <v>0.0003493150685</v>
      </c>
      <c r="D397" s="8">
        <v>3663.46</v>
      </c>
      <c r="E397" s="8">
        <f t="shared" si="17"/>
        <v>0</v>
      </c>
      <c r="F397" s="53">
        <v>0.094123038</v>
      </c>
      <c r="G397" s="8">
        <f t="shared" si="16"/>
        <v>0.00000257871337</v>
      </c>
      <c r="H397" s="8">
        <f t="shared" si="11"/>
        <v>3663.46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54">
        <f t="shared" si="12"/>
        <v>44179</v>
      </c>
      <c r="B398" s="8">
        <f t="shared" si="13"/>
        <v>282308751.4</v>
      </c>
      <c r="C398" s="8">
        <f t="shared" si="14"/>
        <v>0.0003493150685</v>
      </c>
      <c r="D398" s="8">
        <v>3647.49</v>
      </c>
      <c r="E398" s="8">
        <f t="shared" si="17"/>
        <v>-0.004359266923</v>
      </c>
      <c r="F398" s="53">
        <v>0.098233862</v>
      </c>
      <c r="G398" s="8">
        <f t="shared" si="16"/>
        <v>0.000002691338685</v>
      </c>
      <c r="H398" s="8">
        <f t="shared" si="11"/>
        <v>3647.49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54">
        <f t="shared" si="12"/>
        <v>44180</v>
      </c>
      <c r="B399" s="8">
        <f t="shared" si="13"/>
        <v>282407366.1</v>
      </c>
      <c r="C399" s="8">
        <f t="shared" si="14"/>
        <v>0.0003493150685</v>
      </c>
      <c r="D399" s="8">
        <v>3694.62</v>
      </c>
      <c r="E399" s="8">
        <f t="shared" si="17"/>
        <v>0.01292121431</v>
      </c>
      <c r="F399" s="53">
        <v>0.096204766</v>
      </c>
      <c r="G399" s="8">
        <f t="shared" si="16"/>
        <v>0.000002635747014</v>
      </c>
      <c r="H399" s="8">
        <f t="shared" si="11"/>
        <v>3694.62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54">
        <f t="shared" si="12"/>
        <v>44181</v>
      </c>
      <c r="B400" s="8">
        <f t="shared" si="13"/>
        <v>282506015.2</v>
      </c>
      <c r="C400" s="8">
        <f t="shared" si="14"/>
        <v>0.0003493150685</v>
      </c>
      <c r="D400" s="8">
        <v>3701.17</v>
      </c>
      <c r="E400" s="8">
        <f t="shared" si="17"/>
        <v>0.001772848087</v>
      </c>
      <c r="F400" s="53">
        <v>0.099530897</v>
      </c>
      <c r="G400" s="8">
        <f t="shared" si="16"/>
        <v>0.00000272687389</v>
      </c>
      <c r="H400" s="8">
        <f t="shared" si="11"/>
        <v>3701.17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54">
        <f t="shared" si="12"/>
        <v>44182</v>
      </c>
      <c r="B401" s="8">
        <f t="shared" si="13"/>
        <v>282604698.8</v>
      </c>
      <c r="C401" s="8">
        <f t="shared" si="14"/>
        <v>0.0003493150685</v>
      </c>
      <c r="D401" s="8">
        <v>3722.48</v>
      </c>
      <c r="E401" s="8">
        <f t="shared" si="17"/>
        <v>0.005757638801</v>
      </c>
      <c r="F401" s="53">
        <v>0.102688837</v>
      </c>
      <c r="G401" s="8">
        <f t="shared" si="16"/>
        <v>0.000002813392795</v>
      </c>
      <c r="H401" s="8">
        <f t="shared" si="11"/>
        <v>3722.48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54">
        <f t="shared" si="12"/>
        <v>44183</v>
      </c>
      <c r="B402" s="8">
        <f t="shared" si="13"/>
        <v>282703416.9</v>
      </c>
      <c r="C402" s="8">
        <f t="shared" si="14"/>
        <v>0.0003493150685</v>
      </c>
      <c r="D402" s="8">
        <v>3709.41</v>
      </c>
      <c r="E402" s="8">
        <f t="shared" si="17"/>
        <v>-0.003511100127</v>
      </c>
      <c r="F402" s="53">
        <v>0.106054965</v>
      </c>
      <c r="G402" s="8">
        <f t="shared" si="16"/>
        <v>0.000002905615479</v>
      </c>
      <c r="H402" s="8">
        <f t="shared" si="11"/>
        <v>3709.41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54">
        <f t="shared" si="12"/>
        <v>44184</v>
      </c>
      <c r="B403" s="8">
        <f t="shared" si="13"/>
        <v>282802169.5</v>
      </c>
      <c r="C403" s="8">
        <f t="shared" si="14"/>
        <v>0.0003493150685</v>
      </c>
      <c r="D403" s="8">
        <v>3709.41</v>
      </c>
      <c r="E403" s="8">
        <f t="shared" si="17"/>
        <v>0</v>
      </c>
      <c r="F403" s="53">
        <v>0.106597803</v>
      </c>
      <c r="G403" s="8">
        <f t="shared" si="16"/>
        <v>0.000002920487753</v>
      </c>
      <c r="H403" s="8">
        <f t="shared" si="11"/>
        <v>3709.41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54">
        <f t="shared" si="12"/>
        <v>44185</v>
      </c>
      <c r="B404" s="8">
        <f t="shared" si="13"/>
        <v>282900956.5</v>
      </c>
      <c r="C404" s="8">
        <f t="shared" si="14"/>
        <v>0.0003493150685</v>
      </c>
      <c r="D404" s="8">
        <v>3709.41</v>
      </c>
      <c r="E404" s="8">
        <f t="shared" si="17"/>
        <v>0</v>
      </c>
      <c r="F404" s="53">
        <v>0.108077227</v>
      </c>
      <c r="G404" s="8">
        <f t="shared" si="16"/>
        <v>0.000002961019918</v>
      </c>
      <c r="H404" s="8">
        <f t="shared" si="11"/>
        <v>3709.41</v>
      </c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54">
        <f t="shared" si="12"/>
        <v>44186</v>
      </c>
      <c r="B405" s="8">
        <f t="shared" si="13"/>
        <v>282999778.1</v>
      </c>
      <c r="C405" s="8">
        <f t="shared" si="14"/>
        <v>0.0003493150685</v>
      </c>
      <c r="D405" s="8">
        <v>3694.92</v>
      </c>
      <c r="E405" s="8">
        <f t="shared" si="17"/>
        <v>-0.003906281592</v>
      </c>
      <c r="F405" s="53">
        <v>0.094860475</v>
      </c>
      <c r="G405" s="8">
        <f t="shared" si="16"/>
        <v>0.000002598917123</v>
      </c>
      <c r="H405" s="8">
        <f t="shared" si="11"/>
        <v>3694.92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54">
        <f t="shared" si="12"/>
        <v>44187</v>
      </c>
      <c r="B406" s="8">
        <f t="shared" si="13"/>
        <v>283098634.2</v>
      </c>
      <c r="C406" s="8">
        <f t="shared" si="14"/>
        <v>0.0003493150685</v>
      </c>
      <c r="D406" s="8">
        <v>3687.26</v>
      </c>
      <c r="E406" s="8">
        <f t="shared" si="17"/>
        <v>-0.002073116603</v>
      </c>
      <c r="F406" s="53">
        <v>0.092687031</v>
      </c>
      <c r="G406" s="8">
        <f t="shared" si="16"/>
        <v>0.000002539370712</v>
      </c>
      <c r="H406" s="8">
        <f t="shared" si="11"/>
        <v>3687.26</v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54">
        <f t="shared" si="12"/>
        <v>44188</v>
      </c>
      <c r="B407" s="8">
        <f t="shared" si="13"/>
        <v>283197524.8</v>
      </c>
      <c r="C407" s="8">
        <f t="shared" si="14"/>
        <v>0.0003493150685</v>
      </c>
      <c r="D407" s="8">
        <v>3690.01</v>
      </c>
      <c r="E407" s="8">
        <f t="shared" si="17"/>
        <v>0.0007458112528</v>
      </c>
      <c r="F407" s="53">
        <v>0.096110468</v>
      </c>
      <c r="G407" s="8">
        <f t="shared" si="16"/>
        <v>0.000002633163507</v>
      </c>
      <c r="H407" s="8">
        <f t="shared" si="11"/>
        <v>3690.01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54">
        <f t="shared" si="12"/>
        <v>44189</v>
      </c>
      <c r="B408" s="8">
        <f t="shared" si="13"/>
        <v>283296450</v>
      </c>
      <c r="C408" s="8">
        <f t="shared" si="14"/>
        <v>0.0003493150685</v>
      </c>
      <c r="D408" s="8">
        <v>3703.06</v>
      </c>
      <c r="E408" s="8">
        <f t="shared" si="17"/>
        <v>0.003536575782</v>
      </c>
      <c r="F408" s="53">
        <v>0.089377011</v>
      </c>
      <c r="G408" s="8">
        <f t="shared" si="16"/>
        <v>0.000002448685233</v>
      </c>
      <c r="H408" s="8">
        <f t="shared" si="11"/>
        <v>3703.06</v>
      </c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54">
        <f t="shared" si="12"/>
        <v>44190</v>
      </c>
      <c r="B409" s="8">
        <f t="shared" si="13"/>
        <v>283395409.7</v>
      </c>
      <c r="C409" s="8">
        <f t="shared" si="14"/>
        <v>0.0003493150685</v>
      </c>
      <c r="D409" s="8">
        <v>3703.06</v>
      </c>
      <c r="E409" s="8">
        <f t="shared" si="17"/>
        <v>0</v>
      </c>
      <c r="F409" s="53">
        <v>0.111724753</v>
      </c>
      <c r="G409" s="8">
        <f t="shared" si="16"/>
        <v>0.000003060952137</v>
      </c>
      <c r="H409" s="8">
        <f t="shared" si="11"/>
        <v>3703.06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54">
        <f t="shared" si="12"/>
        <v>44191</v>
      </c>
      <c r="B410" s="8">
        <f t="shared" si="13"/>
        <v>283494404</v>
      </c>
      <c r="C410" s="8">
        <f t="shared" si="14"/>
        <v>0.0003493150685</v>
      </c>
      <c r="D410" s="8">
        <v>3703.06</v>
      </c>
      <c r="E410" s="8">
        <f t="shared" si="17"/>
        <v>0</v>
      </c>
      <c r="F410" s="53">
        <v>0.097198067</v>
      </c>
      <c r="G410" s="8">
        <f t="shared" si="16"/>
        <v>0.00000266296074</v>
      </c>
      <c r="H410" s="8">
        <f t="shared" si="11"/>
        <v>3703.06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54">
        <f t="shared" si="12"/>
        <v>44192</v>
      </c>
      <c r="B411" s="8">
        <f t="shared" si="13"/>
        <v>283593432.8</v>
      </c>
      <c r="C411" s="8">
        <f t="shared" si="14"/>
        <v>0.0003493150685</v>
      </c>
      <c r="D411" s="8">
        <v>3703.06</v>
      </c>
      <c r="E411" s="8">
        <f t="shared" si="17"/>
        <v>0</v>
      </c>
      <c r="F411" s="53">
        <v>0.091906742</v>
      </c>
      <c r="G411" s="8">
        <f t="shared" si="16"/>
        <v>0.000002517992932</v>
      </c>
      <c r="H411" s="8">
        <f t="shared" si="11"/>
        <v>3703.06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54">
        <f t="shared" si="12"/>
        <v>44193</v>
      </c>
      <c r="B412" s="8">
        <f t="shared" si="13"/>
        <v>283692496.3</v>
      </c>
      <c r="C412" s="8">
        <f t="shared" si="14"/>
        <v>0.0003493150685</v>
      </c>
      <c r="D412" s="8">
        <v>3735.36</v>
      </c>
      <c r="E412" s="8">
        <f t="shared" si="17"/>
        <v>0.008722515973</v>
      </c>
      <c r="F412" s="53">
        <v>0.105317608</v>
      </c>
      <c r="G412" s="8">
        <f t="shared" si="16"/>
        <v>0.000002885413918</v>
      </c>
      <c r="H412" s="8">
        <f t="shared" si="11"/>
        <v>3735.36</v>
      </c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54">
        <f t="shared" si="12"/>
        <v>44194</v>
      </c>
      <c r="B413" s="8">
        <f t="shared" si="13"/>
        <v>283791594.3</v>
      </c>
      <c r="C413" s="8">
        <f t="shared" si="14"/>
        <v>0.0003493150685</v>
      </c>
      <c r="D413" s="8">
        <v>3727.04</v>
      </c>
      <c r="E413" s="8">
        <f t="shared" si="17"/>
        <v>-0.002227362289</v>
      </c>
      <c r="F413" s="53">
        <v>0.084805861</v>
      </c>
      <c r="G413" s="8">
        <f t="shared" si="16"/>
        <v>0.000002323448247</v>
      </c>
      <c r="H413" s="8">
        <f t="shared" si="11"/>
        <v>3727.04</v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54">
        <f t="shared" si="12"/>
        <v>44195</v>
      </c>
      <c r="B414" s="8">
        <f t="shared" si="13"/>
        <v>283890727</v>
      </c>
      <c r="C414" s="8">
        <f t="shared" si="14"/>
        <v>0.0003493150685</v>
      </c>
      <c r="D414" s="8">
        <v>3732.04</v>
      </c>
      <c r="E414" s="8">
        <f t="shared" si="17"/>
        <v>0.00134154718</v>
      </c>
      <c r="F414" s="53">
        <v>0.116257175</v>
      </c>
      <c r="G414" s="8">
        <f t="shared" si="16"/>
        <v>0.000003185128082</v>
      </c>
      <c r="H414" s="8">
        <f t="shared" si="11"/>
        <v>3732.04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54">
        <f t="shared" si="12"/>
        <v>44196</v>
      </c>
      <c r="B415" s="8">
        <f t="shared" si="13"/>
        <v>283989894.3</v>
      </c>
      <c r="C415" s="8">
        <f t="shared" si="14"/>
        <v>0.0003493150685</v>
      </c>
      <c r="D415" s="8">
        <v>3756.07</v>
      </c>
      <c r="E415" s="8">
        <f t="shared" si="17"/>
        <v>0.00643883774</v>
      </c>
      <c r="F415" s="53">
        <v>0.089911892</v>
      </c>
      <c r="G415" s="8">
        <f t="shared" si="16"/>
        <v>0.000002463339507</v>
      </c>
      <c r="H415" s="8">
        <f t="shared" si="11"/>
        <v>3756.07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54">
        <f t="shared" si="12"/>
        <v>44197</v>
      </c>
      <c r="B416" s="8">
        <f t="shared" si="13"/>
        <v>283969431.5</v>
      </c>
      <c r="C416" s="8">
        <f t="shared" si="14"/>
        <v>-0.00007205479452</v>
      </c>
      <c r="D416" s="8">
        <v>3756.07</v>
      </c>
      <c r="E416" s="8">
        <f t="shared" si="17"/>
        <v>0</v>
      </c>
      <c r="F416" s="53">
        <v>0.096306913</v>
      </c>
      <c r="G416" s="8">
        <f t="shared" si="16"/>
        <v>0.000002638545562</v>
      </c>
      <c r="H416" s="8">
        <f t="shared" si="11"/>
        <v>3756.07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54">
        <f t="shared" si="12"/>
        <v>44198</v>
      </c>
      <c r="B417" s="8">
        <f t="shared" si="13"/>
        <v>283948970.1</v>
      </c>
      <c r="C417" s="8">
        <f t="shared" si="14"/>
        <v>-0.00007205479452</v>
      </c>
      <c r="D417" s="8">
        <v>3756.07</v>
      </c>
      <c r="E417" s="8">
        <f t="shared" si="17"/>
        <v>0</v>
      </c>
      <c r="F417" s="53">
        <v>0.085694804</v>
      </c>
      <c r="G417" s="8">
        <f t="shared" si="16"/>
        <v>0.000002347802849</v>
      </c>
      <c r="H417" s="8">
        <f t="shared" si="11"/>
        <v>3756.07</v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54">
        <f t="shared" si="12"/>
        <v>44199</v>
      </c>
      <c r="B418" s="8">
        <f t="shared" si="13"/>
        <v>283928510.3</v>
      </c>
      <c r="C418" s="8">
        <f t="shared" si="14"/>
        <v>-0.00007205479452</v>
      </c>
      <c r="D418" s="8">
        <v>3756.07</v>
      </c>
      <c r="E418" s="8">
        <f t="shared" si="17"/>
        <v>0</v>
      </c>
      <c r="F418" s="53">
        <v>0.109522205</v>
      </c>
      <c r="G418" s="8">
        <f t="shared" si="16"/>
        <v>0.000003000608356</v>
      </c>
      <c r="H418" s="8">
        <f t="shared" si="11"/>
        <v>3756.07</v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54">
        <f t="shared" si="12"/>
        <v>44200</v>
      </c>
      <c r="B419" s="8">
        <f t="shared" si="13"/>
        <v>283908051.9</v>
      </c>
      <c r="C419" s="8">
        <f t="shared" si="14"/>
        <v>-0.00007205479452</v>
      </c>
      <c r="D419" s="8">
        <v>3700.65</v>
      </c>
      <c r="E419" s="8">
        <f t="shared" si="17"/>
        <v>-0.01475478359</v>
      </c>
      <c r="F419" s="53">
        <v>0.098679791</v>
      </c>
      <c r="G419" s="8">
        <f t="shared" si="16"/>
        <v>0.000002703555918</v>
      </c>
      <c r="H419" s="8">
        <f t="shared" si="11"/>
        <v>3700.65</v>
      </c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54">
        <f t="shared" si="12"/>
        <v>44201</v>
      </c>
      <c r="B420" s="8">
        <f t="shared" si="13"/>
        <v>283887594.9</v>
      </c>
      <c r="C420" s="8">
        <f t="shared" si="14"/>
        <v>-0.00007205479452</v>
      </c>
      <c r="D420" s="8">
        <v>3726.86</v>
      </c>
      <c r="E420" s="8">
        <f t="shared" si="17"/>
        <v>0.007082539554</v>
      </c>
      <c r="F420" s="53">
        <v>0.110192083</v>
      </c>
      <c r="G420" s="8">
        <f t="shared" si="16"/>
        <v>0.000003018961178</v>
      </c>
      <c r="H420" s="8">
        <f t="shared" si="11"/>
        <v>3726.86</v>
      </c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54">
        <f t="shared" si="12"/>
        <v>44202</v>
      </c>
      <c r="B421" s="8">
        <f t="shared" si="13"/>
        <v>283867139.5</v>
      </c>
      <c r="C421" s="8">
        <f t="shared" si="14"/>
        <v>-0.00007205479452</v>
      </c>
      <c r="D421" s="8">
        <v>3748.14</v>
      </c>
      <c r="E421" s="8">
        <f t="shared" si="17"/>
        <v>0.00570990056</v>
      </c>
      <c r="F421" s="53">
        <v>0.098831546</v>
      </c>
      <c r="G421" s="8">
        <f t="shared" si="16"/>
        <v>0.000002707713589</v>
      </c>
      <c r="H421" s="8">
        <f t="shared" si="11"/>
        <v>3748.14</v>
      </c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54">
        <f t="shared" si="12"/>
        <v>44203</v>
      </c>
      <c r="B422" s="8">
        <f t="shared" si="13"/>
        <v>283846685.5</v>
      </c>
      <c r="C422" s="8">
        <f t="shared" si="14"/>
        <v>-0.00007205479452</v>
      </c>
      <c r="D422" s="8">
        <v>3803.79</v>
      </c>
      <c r="E422" s="8">
        <f t="shared" si="17"/>
        <v>0.01484736429</v>
      </c>
      <c r="F422" s="53">
        <v>0.094152061</v>
      </c>
      <c r="G422" s="8">
        <f t="shared" si="16"/>
        <v>0.000002579508521</v>
      </c>
      <c r="H422" s="8">
        <f t="shared" si="11"/>
        <v>3803.79</v>
      </c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54">
        <f t="shared" si="12"/>
        <v>44204</v>
      </c>
      <c r="B423" s="8">
        <f t="shared" si="13"/>
        <v>283826232.9</v>
      </c>
      <c r="C423" s="8">
        <f t="shared" si="14"/>
        <v>-0.00007205479452</v>
      </c>
      <c r="D423" s="8">
        <v>3824.68</v>
      </c>
      <c r="E423" s="8">
        <f t="shared" si="17"/>
        <v>0.005491890982</v>
      </c>
      <c r="F423" s="53">
        <v>0.096385271</v>
      </c>
      <c r="G423" s="8">
        <f t="shared" si="16"/>
        <v>0.000002640692356</v>
      </c>
      <c r="H423" s="8">
        <f t="shared" si="11"/>
        <v>3824.68</v>
      </c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54">
        <f t="shared" si="12"/>
        <v>44205</v>
      </c>
      <c r="B424" s="8">
        <f t="shared" si="13"/>
        <v>283805781.9</v>
      </c>
      <c r="C424" s="8">
        <f t="shared" si="14"/>
        <v>-0.00007205479452</v>
      </c>
      <c r="D424" s="8">
        <v>3824.68</v>
      </c>
      <c r="E424" s="8">
        <f t="shared" si="17"/>
        <v>0</v>
      </c>
      <c r="F424" s="53">
        <v>0.083165786</v>
      </c>
      <c r="G424" s="8">
        <f t="shared" si="16"/>
        <v>0.000002278514685</v>
      </c>
      <c r="H424" s="8">
        <f t="shared" si="11"/>
        <v>3824.68</v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54">
        <f t="shared" si="12"/>
        <v>44206</v>
      </c>
      <c r="B425" s="8">
        <f t="shared" si="13"/>
        <v>283785332.3</v>
      </c>
      <c r="C425" s="8">
        <f t="shared" si="14"/>
        <v>-0.00007205479452</v>
      </c>
      <c r="D425" s="8">
        <v>3824.68</v>
      </c>
      <c r="E425" s="8">
        <f t="shared" si="17"/>
        <v>0</v>
      </c>
      <c r="F425" s="53">
        <v>0.094493603</v>
      </c>
      <c r="G425" s="8">
        <f t="shared" si="16"/>
        <v>0.000002588865836</v>
      </c>
      <c r="H425" s="8">
        <f t="shared" si="11"/>
        <v>3824.68</v>
      </c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54">
        <f t="shared" si="12"/>
        <v>44207</v>
      </c>
      <c r="B426" s="8">
        <f t="shared" si="13"/>
        <v>283764884.2</v>
      </c>
      <c r="C426" s="8">
        <f t="shared" si="14"/>
        <v>-0.00007205479452</v>
      </c>
      <c r="D426" s="8">
        <v>3799.61</v>
      </c>
      <c r="E426" s="8">
        <f t="shared" si="17"/>
        <v>-0.006554796741</v>
      </c>
      <c r="F426" s="53">
        <v>0.104166986</v>
      </c>
      <c r="G426" s="8">
        <f t="shared" si="16"/>
        <v>0.000002853890027</v>
      </c>
      <c r="H426" s="8">
        <f t="shared" si="11"/>
        <v>3799.61</v>
      </c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54">
        <f t="shared" si="12"/>
        <v>44208</v>
      </c>
      <c r="B427" s="8">
        <f t="shared" si="13"/>
        <v>283744437.6</v>
      </c>
      <c r="C427" s="8">
        <f t="shared" si="14"/>
        <v>-0.00007205479452</v>
      </c>
      <c r="D427" s="8">
        <v>3801.19</v>
      </c>
      <c r="E427" s="8">
        <f t="shared" si="17"/>
        <v>0.0004158321512</v>
      </c>
      <c r="F427" s="53">
        <v>0.116823228</v>
      </c>
      <c r="G427" s="8">
        <f t="shared" si="16"/>
        <v>0.000003200636384</v>
      </c>
      <c r="H427" s="8">
        <f t="shared" si="11"/>
        <v>3801.19</v>
      </c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54">
        <f t="shared" si="12"/>
        <v>44209</v>
      </c>
      <c r="B428" s="8">
        <f t="shared" si="13"/>
        <v>283723992.5</v>
      </c>
      <c r="C428" s="8">
        <f t="shared" si="14"/>
        <v>-0.00007205479452</v>
      </c>
      <c r="D428" s="8">
        <v>3809.84</v>
      </c>
      <c r="E428" s="8">
        <f t="shared" si="17"/>
        <v>0.002275603166</v>
      </c>
      <c r="F428" s="53">
        <v>0.109780412</v>
      </c>
      <c r="G428" s="8">
        <f t="shared" si="16"/>
        <v>0.000003007682521</v>
      </c>
      <c r="H428" s="8">
        <f t="shared" si="11"/>
        <v>3809.84</v>
      </c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54">
        <f t="shared" si="12"/>
        <v>44210</v>
      </c>
      <c r="B429" s="8">
        <f t="shared" si="13"/>
        <v>283703548.8</v>
      </c>
      <c r="C429" s="8">
        <f t="shared" si="14"/>
        <v>-0.00007205479452</v>
      </c>
      <c r="D429" s="8">
        <v>3795.54</v>
      </c>
      <c r="E429" s="8">
        <f t="shared" si="17"/>
        <v>-0.003753438465</v>
      </c>
      <c r="F429" s="53">
        <v>0.100100268</v>
      </c>
      <c r="G429" s="8">
        <f t="shared" si="16"/>
        <v>0.000002742473096</v>
      </c>
      <c r="H429" s="8">
        <f t="shared" si="11"/>
        <v>3795.54</v>
      </c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54">
        <f t="shared" si="12"/>
        <v>44211</v>
      </c>
      <c r="B430" s="8">
        <f t="shared" si="13"/>
        <v>283683106.6</v>
      </c>
      <c r="C430" s="8">
        <f t="shared" si="14"/>
        <v>-0.00007205479452</v>
      </c>
      <c r="D430" s="8">
        <v>3768.25</v>
      </c>
      <c r="E430" s="8">
        <f t="shared" si="17"/>
        <v>-0.007190017758</v>
      </c>
      <c r="F430" s="53">
        <v>0.086721352</v>
      </c>
      <c r="G430" s="8">
        <f t="shared" si="16"/>
        <v>0.000002375927452</v>
      </c>
      <c r="H430" s="8">
        <f t="shared" si="11"/>
        <v>3768.25</v>
      </c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54">
        <f t="shared" si="12"/>
        <v>44212</v>
      </c>
      <c r="B431" s="8">
        <f t="shared" si="13"/>
        <v>283662665.9</v>
      </c>
      <c r="C431" s="8">
        <f t="shared" si="14"/>
        <v>-0.00007205479452</v>
      </c>
      <c r="D431" s="8">
        <v>3768.25</v>
      </c>
      <c r="E431" s="8">
        <f t="shared" si="17"/>
        <v>0</v>
      </c>
      <c r="F431" s="53">
        <v>0.090961749</v>
      </c>
      <c r="G431" s="8">
        <f t="shared" si="16"/>
        <v>0.000002492102712</v>
      </c>
      <c r="H431" s="8">
        <f t="shared" si="11"/>
        <v>3768.25</v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54">
        <f t="shared" si="12"/>
        <v>44213</v>
      </c>
      <c r="B432" s="8">
        <f t="shared" si="13"/>
        <v>283642226.6</v>
      </c>
      <c r="C432" s="8">
        <f t="shared" si="14"/>
        <v>-0.00007205479452</v>
      </c>
      <c r="D432" s="8">
        <v>3768.25</v>
      </c>
      <c r="E432" s="8">
        <f t="shared" si="17"/>
        <v>0</v>
      </c>
      <c r="F432" s="53">
        <v>0.113702188</v>
      </c>
      <c r="G432" s="8">
        <f t="shared" si="16"/>
        <v>0.000003115128438</v>
      </c>
      <c r="H432" s="8">
        <f t="shared" si="11"/>
        <v>3768.25</v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54">
        <f t="shared" si="12"/>
        <v>44214</v>
      </c>
      <c r="B433" s="8">
        <f t="shared" si="13"/>
        <v>283621788.8</v>
      </c>
      <c r="C433" s="8">
        <f t="shared" si="14"/>
        <v>-0.00007205479452</v>
      </c>
      <c r="D433" s="8">
        <v>3768.25</v>
      </c>
      <c r="E433" s="8">
        <f t="shared" si="17"/>
        <v>0</v>
      </c>
      <c r="F433" s="53">
        <v>0.101010187</v>
      </c>
      <c r="G433" s="8">
        <f t="shared" si="16"/>
        <v>0.000002767402384</v>
      </c>
      <c r="H433" s="8">
        <f t="shared" si="11"/>
        <v>3768.25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54">
        <f t="shared" si="12"/>
        <v>44215</v>
      </c>
      <c r="B434" s="8">
        <f t="shared" si="13"/>
        <v>283601352.5</v>
      </c>
      <c r="C434" s="8">
        <f t="shared" si="14"/>
        <v>-0.00007205479452</v>
      </c>
      <c r="D434" s="8">
        <v>3798.91</v>
      </c>
      <c r="E434" s="8">
        <f t="shared" si="17"/>
        <v>0.00813640284</v>
      </c>
      <c r="F434" s="53">
        <v>0.0920353</v>
      </c>
      <c r="G434" s="8">
        <f t="shared" si="16"/>
        <v>0.000002521515068</v>
      </c>
      <c r="H434" s="8">
        <f t="shared" si="11"/>
        <v>3798.91</v>
      </c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54">
        <f t="shared" si="12"/>
        <v>44216</v>
      </c>
      <c r="B435" s="8">
        <f t="shared" si="13"/>
        <v>283580917.7</v>
      </c>
      <c r="C435" s="8">
        <f t="shared" si="14"/>
        <v>-0.00007205479452</v>
      </c>
      <c r="D435" s="8">
        <v>3851.85</v>
      </c>
      <c r="E435" s="8">
        <f t="shared" si="17"/>
        <v>0.01393557626</v>
      </c>
      <c r="F435" s="53">
        <v>0.098235712</v>
      </c>
      <c r="G435" s="8">
        <f t="shared" si="16"/>
        <v>0.00000269138937</v>
      </c>
      <c r="H435" s="8">
        <f t="shared" si="11"/>
        <v>3851.85</v>
      </c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54">
        <f t="shared" si="12"/>
        <v>44217</v>
      </c>
      <c r="B436" s="8">
        <f t="shared" si="13"/>
        <v>283560484.3</v>
      </c>
      <c r="C436" s="8">
        <f t="shared" si="14"/>
        <v>-0.00007205479452</v>
      </c>
      <c r="D436" s="8">
        <v>3853.07</v>
      </c>
      <c r="E436" s="8">
        <f t="shared" si="17"/>
        <v>0.0003167309215</v>
      </c>
      <c r="F436" s="53">
        <v>0.107108124</v>
      </c>
      <c r="G436" s="8">
        <f t="shared" si="16"/>
        <v>0.000002934469151</v>
      </c>
      <c r="H436" s="8">
        <f t="shared" si="11"/>
        <v>3853.07</v>
      </c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54">
        <f t="shared" si="12"/>
        <v>44218</v>
      </c>
      <c r="B437" s="8">
        <f t="shared" si="13"/>
        <v>283540052.4</v>
      </c>
      <c r="C437" s="8">
        <f t="shared" si="14"/>
        <v>-0.00007205479452</v>
      </c>
      <c r="D437" s="8">
        <v>3841.47</v>
      </c>
      <c r="E437" s="8">
        <f t="shared" si="17"/>
        <v>-0.003010586364</v>
      </c>
      <c r="F437" s="53">
        <v>0.095155142</v>
      </c>
      <c r="G437" s="8">
        <f t="shared" si="16"/>
        <v>0.000002606990192</v>
      </c>
      <c r="H437" s="8">
        <f t="shared" si="11"/>
        <v>3841.47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54">
        <f t="shared" si="12"/>
        <v>44219</v>
      </c>
      <c r="B438" s="8">
        <f t="shared" si="13"/>
        <v>283519622</v>
      </c>
      <c r="C438" s="8">
        <f t="shared" si="14"/>
        <v>-0.00007205479452</v>
      </c>
      <c r="D438" s="8">
        <v>3841.47</v>
      </c>
      <c r="E438" s="8">
        <f t="shared" si="17"/>
        <v>0</v>
      </c>
      <c r="F438" s="53">
        <v>0.098819845</v>
      </c>
      <c r="G438" s="8">
        <f t="shared" si="16"/>
        <v>0.000002707393014</v>
      </c>
      <c r="H438" s="8">
        <f t="shared" si="11"/>
        <v>3841.47</v>
      </c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54">
        <f t="shared" si="12"/>
        <v>44220</v>
      </c>
      <c r="B439" s="8">
        <f t="shared" si="13"/>
        <v>283499193.1</v>
      </c>
      <c r="C439" s="8">
        <f t="shared" si="14"/>
        <v>-0.00007205479452</v>
      </c>
      <c r="D439" s="8">
        <v>3841.47</v>
      </c>
      <c r="E439" s="8">
        <f t="shared" si="17"/>
        <v>0</v>
      </c>
      <c r="F439" s="53">
        <v>0.090573532</v>
      </c>
      <c r="G439" s="8">
        <f t="shared" si="16"/>
        <v>0.00000248146663</v>
      </c>
      <c r="H439" s="8">
        <f t="shared" si="11"/>
        <v>3841.47</v>
      </c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54">
        <f t="shared" si="12"/>
        <v>44221</v>
      </c>
      <c r="B440" s="8">
        <f t="shared" si="13"/>
        <v>283478765.6</v>
      </c>
      <c r="C440" s="8">
        <f t="shared" si="14"/>
        <v>-0.00007205479452</v>
      </c>
      <c r="D440" s="8">
        <v>3855.36</v>
      </c>
      <c r="E440" s="8">
        <f t="shared" si="17"/>
        <v>0.003615803325</v>
      </c>
      <c r="F440" s="53">
        <v>0.093606965</v>
      </c>
      <c r="G440" s="8">
        <f t="shared" si="16"/>
        <v>0.000002564574384</v>
      </c>
      <c r="H440" s="8">
        <f t="shared" si="11"/>
        <v>3855.36</v>
      </c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54">
        <f t="shared" si="12"/>
        <v>44222</v>
      </c>
      <c r="B441" s="8">
        <f t="shared" si="13"/>
        <v>283458339.6</v>
      </c>
      <c r="C441" s="8">
        <f t="shared" si="14"/>
        <v>-0.00007205479452</v>
      </c>
      <c r="D441" s="8">
        <v>3849.62</v>
      </c>
      <c r="E441" s="8">
        <f t="shared" si="17"/>
        <v>-0.001488836321</v>
      </c>
      <c r="F441" s="53">
        <v>0.114451463</v>
      </c>
      <c r="G441" s="8">
        <f t="shared" si="16"/>
        <v>0.000003135656521</v>
      </c>
      <c r="H441" s="8">
        <f t="shared" si="11"/>
        <v>3849.62</v>
      </c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54">
        <f t="shared" si="12"/>
        <v>44223</v>
      </c>
      <c r="B442" s="8">
        <f t="shared" si="13"/>
        <v>283437915.1</v>
      </c>
      <c r="C442" s="8">
        <f t="shared" si="14"/>
        <v>-0.00007205479452</v>
      </c>
      <c r="D442" s="8">
        <v>3750.77</v>
      </c>
      <c r="E442" s="8">
        <f t="shared" si="17"/>
        <v>-0.02567785911</v>
      </c>
      <c r="F442" s="53">
        <v>0.073513131</v>
      </c>
      <c r="G442" s="8">
        <f t="shared" si="16"/>
        <v>0.000002014058384</v>
      </c>
      <c r="H442" s="8">
        <f t="shared" si="11"/>
        <v>3750.77</v>
      </c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54">
        <f t="shared" si="12"/>
        <v>44224</v>
      </c>
      <c r="B443" s="8">
        <f t="shared" si="13"/>
        <v>283417492</v>
      </c>
      <c r="C443" s="8">
        <f t="shared" si="14"/>
        <v>-0.00007205479452</v>
      </c>
      <c r="D443" s="8">
        <v>3787.38</v>
      </c>
      <c r="E443" s="8">
        <f t="shared" si="17"/>
        <v>0.009760662477</v>
      </c>
      <c r="F443" s="53">
        <v>0.100010251</v>
      </c>
      <c r="G443" s="8">
        <f t="shared" si="16"/>
        <v>0.000002740006877</v>
      </c>
      <c r="H443" s="8">
        <f t="shared" si="11"/>
        <v>3787.38</v>
      </c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54">
        <f t="shared" si="12"/>
        <v>44225</v>
      </c>
      <c r="B444" s="8">
        <f t="shared" si="13"/>
        <v>283397070.4</v>
      </c>
      <c r="C444" s="8">
        <f t="shared" si="14"/>
        <v>-0.00007205479452</v>
      </c>
      <c r="D444" s="8">
        <v>3714.24</v>
      </c>
      <c r="E444" s="8">
        <f t="shared" si="17"/>
        <v>-0.01931150294</v>
      </c>
      <c r="F444" s="53">
        <v>0.094609826</v>
      </c>
      <c r="G444" s="8">
        <f t="shared" si="16"/>
        <v>0.000002592050027</v>
      </c>
      <c r="H444" s="8">
        <f t="shared" si="11"/>
        <v>3714.24</v>
      </c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54">
        <f t="shared" si="12"/>
        <v>44226</v>
      </c>
      <c r="B445" s="8">
        <f t="shared" si="13"/>
        <v>283376650.3</v>
      </c>
      <c r="C445" s="8">
        <f t="shared" si="14"/>
        <v>-0.00007205479452</v>
      </c>
      <c r="D445" s="8">
        <v>3714.24</v>
      </c>
      <c r="E445" s="8">
        <f t="shared" si="17"/>
        <v>0</v>
      </c>
      <c r="F445" s="53">
        <v>0.089990413</v>
      </c>
      <c r="G445" s="8">
        <f t="shared" si="16"/>
        <v>0.000002465490767</v>
      </c>
      <c r="H445" s="8">
        <f t="shared" si="11"/>
        <v>3714.24</v>
      </c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54">
        <f t="shared" si="12"/>
        <v>44227</v>
      </c>
      <c r="B446" s="8">
        <f t="shared" si="13"/>
        <v>283356231.6</v>
      </c>
      <c r="C446" s="8">
        <f t="shared" si="14"/>
        <v>-0.00007205479452</v>
      </c>
      <c r="D446" s="8">
        <v>3714.24</v>
      </c>
      <c r="E446" s="8">
        <f t="shared" si="17"/>
        <v>0</v>
      </c>
      <c r="F446" s="53">
        <v>0.107448605</v>
      </c>
      <c r="G446" s="8">
        <f t="shared" si="16"/>
        <v>0.000002943797397</v>
      </c>
      <c r="H446" s="8">
        <f t="shared" si="11"/>
        <v>3714.24</v>
      </c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54">
        <f t="shared" si="12"/>
        <v>44228</v>
      </c>
      <c r="B447" s="8">
        <f t="shared" si="13"/>
        <v>283335814.5</v>
      </c>
      <c r="C447" s="8">
        <f t="shared" si="14"/>
        <v>-0.00007205479452</v>
      </c>
      <c r="D447" s="8">
        <v>3773.86</v>
      </c>
      <c r="E447" s="8">
        <f t="shared" si="17"/>
        <v>0.01605173602</v>
      </c>
      <c r="F447" s="53">
        <v>0.105993601</v>
      </c>
      <c r="G447" s="8">
        <f t="shared" si="16"/>
        <v>0.000002903934274</v>
      </c>
      <c r="H447" s="8">
        <f t="shared" si="11"/>
        <v>3773.86</v>
      </c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54">
        <f t="shared" si="12"/>
        <v>44229</v>
      </c>
      <c r="B448" s="8">
        <f t="shared" si="13"/>
        <v>283315398.8</v>
      </c>
      <c r="C448" s="8">
        <f t="shared" si="14"/>
        <v>-0.00007205479452</v>
      </c>
      <c r="D448" s="8">
        <v>3826.31</v>
      </c>
      <c r="E448" s="8">
        <f t="shared" si="17"/>
        <v>0.01389823682</v>
      </c>
      <c r="F448" s="53">
        <v>0.094733974</v>
      </c>
      <c r="G448" s="8">
        <f t="shared" si="16"/>
        <v>0.000002595451342</v>
      </c>
      <c r="H448" s="8">
        <f t="shared" si="11"/>
        <v>3826.31</v>
      </c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54">
        <f t="shared" si="12"/>
        <v>44230</v>
      </c>
      <c r="B449" s="8">
        <f t="shared" si="13"/>
        <v>283294984.5</v>
      </c>
      <c r="C449" s="8">
        <f t="shared" si="14"/>
        <v>-0.00007205479452</v>
      </c>
      <c r="D449" s="8">
        <v>3830.17</v>
      </c>
      <c r="E449" s="8">
        <f t="shared" si="17"/>
        <v>0.001008804828</v>
      </c>
      <c r="F449" s="53">
        <v>0.096363405</v>
      </c>
      <c r="G449" s="8">
        <f t="shared" si="16"/>
        <v>0.000002640093288</v>
      </c>
      <c r="H449" s="8">
        <f t="shared" si="11"/>
        <v>3830.17</v>
      </c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54">
        <f t="shared" si="12"/>
        <v>44231</v>
      </c>
      <c r="B450" s="8">
        <f t="shared" si="13"/>
        <v>283274571.8</v>
      </c>
      <c r="C450" s="8">
        <f t="shared" si="14"/>
        <v>-0.00007205479452</v>
      </c>
      <c r="D450" s="8">
        <v>3871.74</v>
      </c>
      <c r="E450" s="8">
        <f t="shared" si="17"/>
        <v>0.01085330416</v>
      </c>
      <c r="F450" s="53">
        <v>0.095907239</v>
      </c>
      <c r="G450" s="8">
        <f t="shared" si="16"/>
        <v>0.000002627595589</v>
      </c>
      <c r="H450" s="8">
        <f t="shared" si="11"/>
        <v>3871.74</v>
      </c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54">
        <f t="shared" si="12"/>
        <v>44232</v>
      </c>
      <c r="B451" s="8">
        <f t="shared" si="13"/>
        <v>283254160.5</v>
      </c>
      <c r="C451" s="8">
        <f t="shared" si="14"/>
        <v>-0.00007205479452</v>
      </c>
      <c r="D451" s="8">
        <v>3886.83</v>
      </c>
      <c r="E451" s="8">
        <f t="shared" si="17"/>
        <v>0.003897472454</v>
      </c>
      <c r="F451" s="53">
        <v>0.095166273</v>
      </c>
      <c r="G451" s="8">
        <f t="shared" si="16"/>
        <v>0.000002607295151</v>
      </c>
      <c r="H451" s="8">
        <f t="shared" si="11"/>
        <v>3886.83</v>
      </c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54">
        <f t="shared" si="12"/>
        <v>44233</v>
      </c>
      <c r="B452" s="8">
        <f t="shared" si="13"/>
        <v>283233750.7</v>
      </c>
      <c r="C452" s="8">
        <f t="shared" si="14"/>
        <v>-0.00007205479452</v>
      </c>
      <c r="D452" s="8">
        <v>3886.83</v>
      </c>
      <c r="E452" s="8">
        <f t="shared" si="17"/>
        <v>0</v>
      </c>
      <c r="F452" s="53">
        <v>0.107517248</v>
      </c>
      <c r="G452" s="8">
        <f t="shared" si="16"/>
        <v>0.000002945678027</v>
      </c>
      <c r="H452" s="8">
        <f t="shared" si="11"/>
        <v>3886.83</v>
      </c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54">
        <f t="shared" si="12"/>
        <v>44234</v>
      </c>
      <c r="B453" s="8">
        <f t="shared" si="13"/>
        <v>283213342.3</v>
      </c>
      <c r="C453" s="8">
        <f t="shared" si="14"/>
        <v>-0.00007205479452</v>
      </c>
      <c r="D453" s="8">
        <v>3886.83</v>
      </c>
      <c r="E453" s="8">
        <f t="shared" si="17"/>
        <v>0</v>
      </c>
      <c r="F453" s="53">
        <v>0.09313501</v>
      </c>
      <c r="G453" s="8">
        <f t="shared" si="16"/>
        <v>0.00000255164411</v>
      </c>
      <c r="H453" s="8">
        <f t="shared" si="11"/>
        <v>3886.83</v>
      </c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54">
        <f t="shared" si="12"/>
        <v>44235</v>
      </c>
      <c r="B454" s="8">
        <f t="shared" si="13"/>
        <v>283192935.4</v>
      </c>
      <c r="C454" s="8">
        <f t="shared" si="14"/>
        <v>-0.00007205479452</v>
      </c>
      <c r="D454" s="8">
        <v>3915.59</v>
      </c>
      <c r="E454" s="8">
        <f t="shared" si="17"/>
        <v>0.007399345997</v>
      </c>
      <c r="F454" s="53">
        <v>0.093581853</v>
      </c>
      <c r="G454" s="8">
        <f t="shared" si="16"/>
        <v>0.000002563886384</v>
      </c>
      <c r="H454" s="8">
        <f t="shared" si="11"/>
        <v>3915.59</v>
      </c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54">
        <f t="shared" si="12"/>
        <v>44236</v>
      </c>
      <c r="B455" s="8">
        <f t="shared" si="13"/>
        <v>283172530</v>
      </c>
      <c r="C455" s="8">
        <f t="shared" si="14"/>
        <v>-0.00007205479452</v>
      </c>
      <c r="D455" s="8">
        <v>3911.23</v>
      </c>
      <c r="E455" s="8">
        <f t="shared" si="17"/>
        <v>-0.001113497583</v>
      </c>
      <c r="F455" s="53">
        <v>0.104062521</v>
      </c>
      <c r="G455" s="8">
        <f t="shared" si="16"/>
        <v>0.000002851027973</v>
      </c>
      <c r="H455" s="8">
        <f t="shared" si="11"/>
        <v>3911.23</v>
      </c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54">
        <f t="shared" si="12"/>
        <v>44237</v>
      </c>
      <c r="B456" s="8">
        <f t="shared" si="13"/>
        <v>283152126.1</v>
      </c>
      <c r="C456" s="8">
        <f t="shared" si="14"/>
        <v>-0.00007205479452</v>
      </c>
      <c r="D456" s="8">
        <v>3909.88</v>
      </c>
      <c r="E456" s="8">
        <f t="shared" si="17"/>
        <v>-0.0003451599625</v>
      </c>
      <c r="F456" s="53">
        <v>0.102336125</v>
      </c>
      <c r="G456" s="8">
        <f t="shared" si="16"/>
        <v>0.000002803729452</v>
      </c>
      <c r="H456" s="8">
        <f t="shared" si="11"/>
        <v>3909.88</v>
      </c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54">
        <f t="shared" si="12"/>
        <v>44238</v>
      </c>
      <c r="B457" s="8">
        <f t="shared" si="13"/>
        <v>283131723.6</v>
      </c>
      <c r="C457" s="8">
        <f t="shared" si="14"/>
        <v>-0.00007205479452</v>
      </c>
      <c r="D457" s="8">
        <v>3916.38</v>
      </c>
      <c r="E457" s="8">
        <f t="shared" si="17"/>
        <v>0.001662455114</v>
      </c>
      <c r="F457" s="53">
        <v>0.093774765</v>
      </c>
      <c r="G457" s="8">
        <f t="shared" si="16"/>
        <v>0.000002569171644</v>
      </c>
      <c r="H457" s="8">
        <f t="shared" si="11"/>
        <v>3916.38</v>
      </c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54">
        <f t="shared" si="12"/>
        <v>44239</v>
      </c>
      <c r="B458" s="8">
        <f t="shared" si="13"/>
        <v>283111322.6</v>
      </c>
      <c r="C458" s="8">
        <f t="shared" si="14"/>
        <v>-0.00007205479452</v>
      </c>
      <c r="D458" s="8">
        <v>3934.83</v>
      </c>
      <c r="E458" s="8">
        <f t="shared" si="17"/>
        <v>0.004710983102</v>
      </c>
      <c r="F458" s="53">
        <v>0.086267307</v>
      </c>
      <c r="G458" s="8">
        <f t="shared" si="16"/>
        <v>0.000002363487863</v>
      </c>
      <c r="H458" s="8">
        <f t="shared" si="11"/>
        <v>3934.83</v>
      </c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54">
        <f t="shared" si="12"/>
        <v>44240</v>
      </c>
      <c r="B459" s="8">
        <f t="shared" si="13"/>
        <v>283090923.1</v>
      </c>
      <c r="C459" s="8">
        <f t="shared" si="14"/>
        <v>-0.00007205479452</v>
      </c>
      <c r="D459" s="8">
        <v>3934.83</v>
      </c>
      <c r="E459" s="8">
        <f t="shared" si="17"/>
        <v>0</v>
      </c>
      <c r="F459" s="53">
        <v>0.086128336</v>
      </c>
      <c r="G459" s="8">
        <f t="shared" si="16"/>
        <v>0.000002359680438</v>
      </c>
      <c r="H459" s="8">
        <f t="shared" si="11"/>
        <v>3934.83</v>
      </c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54">
        <f t="shared" si="12"/>
        <v>44241</v>
      </c>
      <c r="B460" s="8">
        <f t="shared" si="13"/>
        <v>283070525</v>
      </c>
      <c r="C460" s="8">
        <f t="shared" si="14"/>
        <v>-0.00007205479452</v>
      </c>
      <c r="D460" s="8">
        <v>3934.83</v>
      </c>
      <c r="E460" s="8">
        <f t="shared" si="17"/>
        <v>0</v>
      </c>
      <c r="F460" s="53">
        <v>0.097103663</v>
      </c>
      <c r="G460" s="8">
        <f t="shared" si="16"/>
        <v>0.000002660374329</v>
      </c>
      <c r="H460" s="8">
        <f t="shared" si="11"/>
        <v>3934.83</v>
      </c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54">
        <f t="shared" si="12"/>
        <v>44242</v>
      </c>
      <c r="B461" s="8">
        <f t="shared" si="13"/>
        <v>283050128.4</v>
      </c>
      <c r="C461" s="8">
        <f t="shared" si="14"/>
        <v>-0.00007205479452</v>
      </c>
      <c r="D461" s="8">
        <v>3934.83</v>
      </c>
      <c r="E461" s="8">
        <f t="shared" si="17"/>
        <v>0</v>
      </c>
      <c r="F461" s="53">
        <v>0.088973382</v>
      </c>
      <c r="G461" s="8">
        <f t="shared" si="16"/>
        <v>0.000002437626904</v>
      </c>
      <c r="H461" s="8">
        <f t="shared" si="11"/>
        <v>3934.83</v>
      </c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54">
        <f t="shared" si="12"/>
        <v>44243</v>
      </c>
      <c r="B462" s="8">
        <f t="shared" si="13"/>
        <v>283029733.3</v>
      </c>
      <c r="C462" s="8">
        <f t="shared" si="14"/>
        <v>-0.00007205479452</v>
      </c>
      <c r="D462" s="8">
        <v>3932.59</v>
      </c>
      <c r="E462" s="8">
        <f t="shared" si="17"/>
        <v>-0.0005692749115</v>
      </c>
      <c r="F462" s="53">
        <v>0.099646703</v>
      </c>
      <c r="G462" s="8">
        <f t="shared" si="16"/>
        <v>0.000002730046658</v>
      </c>
      <c r="H462" s="8">
        <f t="shared" si="11"/>
        <v>3932.59</v>
      </c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54">
        <f t="shared" si="12"/>
        <v>44244</v>
      </c>
      <c r="B463" s="8">
        <f t="shared" si="13"/>
        <v>283009339.7</v>
      </c>
      <c r="C463" s="8">
        <f t="shared" si="14"/>
        <v>-0.00007205479452</v>
      </c>
      <c r="D463" s="8">
        <v>3931.33</v>
      </c>
      <c r="E463" s="8">
        <f t="shared" si="17"/>
        <v>-0.0003203995331</v>
      </c>
      <c r="F463" s="53">
        <v>0.093515193</v>
      </c>
      <c r="G463" s="8">
        <f t="shared" si="16"/>
        <v>0.000002562060082</v>
      </c>
      <c r="H463" s="8">
        <f t="shared" si="11"/>
        <v>3931.33</v>
      </c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54">
        <f t="shared" si="12"/>
        <v>44245</v>
      </c>
      <c r="B464" s="8">
        <f t="shared" si="13"/>
        <v>282988947.5</v>
      </c>
      <c r="C464" s="8">
        <f t="shared" si="14"/>
        <v>-0.00007205479452</v>
      </c>
      <c r="D464" s="8">
        <v>3913.97</v>
      </c>
      <c r="E464" s="8">
        <f t="shared" si="17"/>
        <v>-0.004415808391</v>
      </c>
      <c r="F464" s="53">
        <v>0.08265905</v>
      </c>
      <c r="G464" s="8">
        <f t="shared" si="16"/>
        <v>0.000002264631507</v>
      </c>
      <c r="H464" s="8">
        <f t="shared" si="11"/>
        <v>3913.97</v>
      </c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54">
        <f t="shared" si="12"/>
        <v>44246</v>
      </c>
      <c r="B465" s="8">
        <f t="shared" si="13"/>
        <v>282968556.8</v>
      </c>
      <c r="C465" s="8">
        <f t="shared" si="14"/>
        <v>-0.00007205479452</v>
      </c>
      <c r="D465" s="8">
        <v>3906.71</v>
      </c>
      <c r="E465" s="8">
        <f t="shared" si="17"/>
        <v>-0.001854894136</v>
      </c>
      <c r="F465" s="53">
        <v>0.09179248</v>
      </c>
      <c r="G465" s="8">
        <f t="shared" si="16"/>
        <v>0.000002514862466</v>
      </c>
      <c r="H465" s="8">
        <f t="shared" si="11"/>
        <v>3906.71</v>
      </c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54">
        <f t="shared" si="12"/>
        <v>44247</v>
      </c>
      <c r="B466" s="8">
        <f t="shared" si="13"/>
        <v>282948167.5</v>
      </c>
      <c r="C466" s="8">
        <f t="shared" si="14"/>
        <v>-0.00007205479452</v>
      </c>
      <c r="D466" s="8">
        <v>3906.71</v>
      </c>
      <c r="E466" s="8">
        <f t="shared" si="17"/>
        <v>0</v>
      </c>
      <c r="F466" s="53">
        <v>0.097152902</v>
      </c>
      <c r="G466" s="8">
        <f t="shared" si="16"/>
        <v>0.000002661723342</v>
      </c>
      <c r="H466" s="8">
        <f t="shared" si="11"/>
        <v>3906.71</v>
      </c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54">
        <f t="shared" si="12"/>
        <v>44248</v>
      </c>
      <c r="B467" s="8">
        <f t="shared" si="13"/>
        <v>282927779.8</v>
      </c>
      <c r="C467" s="8">
        <f t="shared" si="14"/>
        <v>-0.00007205479452</v>
      </c>
      <c r="D467" s="8">
        <v>3906.71</v>
      </c>
      <c r="E467" s="8">
        <f t="shared" si="17"/>
        <v>0</v>
      </c>
      <c r="F467" s="53">
        <v>0.106925033</v>
      </c>
      <c r="G467" s="8">
        <f t="shared" si="16"/>
        <v>0.000002929452959</v>
      </c>
      <c r="H467" s="8">
        <f t="shared" si="11"/>
        <v>3906.71</v>
      </c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54">
        <f t="shared" si="12"/>
        <v>44249</v>
      </c>
      <c r="B468" s="8">
        <f t="shared" si="13"/>
        <v>282907393.5</v>
      </c>
      <c r="C468" s="8">
        <f t="shared" si="14"/>
        <v>-0.00007205479452</v>
      </c>
      <c r="D468" s="8">
        <v>3876.5</v>
      </c>
      <c r="E468" s="8">
        <f t="shared" si="17"/>
        <v>-0.00773284938</v>
      </c>
      <c r="F468" s="53">
        <v>0.09416034</v>
      </c>
      <c r="G468" s="8">
        <f t="shared" si="16"/>
        <v>0.000002579735342</v>
      </c>
      <c r="H468" s="8">
        <f t="shared" si="11"/>
        <v>3876.5</v>
      </c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54">
        <f t="shared" si="12"/>
        <v>44250</v>
      </c>
      <c r="B469" s="8">
        <f t="shared" si="13"/>
        <v>282887008.6</v>
      </c>
      <c r="C469" s="8">
        <f t="shared" si="14"/>
        <v>-0.00007205479452</v>
      </c>
      <c r="D469" s="8">
        <v>3881.37</v>
      </c>
      <c r="E469" s="8">
        <f t="shared" si="17"/>
        <v>0.001256287889</v>
      </c>
      <c r="F469" s="53">
        <v>0.093054701</v>
      </c>
      <c r="G469" s="8">
        <f t="shared" si="16"/>
        <v>0.000002549443863</v>
      </c>
      <c r="H469" s="8">
        <f t="shared" si="11"/>
        <v>3881.37</v>
      </c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54">
        <f t="shared" si="12"/>
        <v>44251</v>
      </c>
      <c r="B470" s="8">
        <f t="shared" si="13"/>
        <v>282866625.3</v>
      </c>
      <c r="C470" s="8">
        <f t="shared" si="14"/>
        <v>-0.00007205479452</v>
      </c>
      <c r="D470" s="8">
        <v>3925.43</v>
      </c>
      <c r="E470" s="8">
        <f t="shared" si="17"/>
        <v>0.01135166191</v>
      </c>
      <c r="F470" s="53">
        <v>0.107090705</v>
      </c>
      <c r="G470" s="8">
        <f t="shared" si="16"/>
        <v>0.000002933991918</v>
      </c>
      <c r="H470" s="8">
        <f t="shared" si="11"/>
        <v>3925.43</v>
      </c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54">
        <f t="shared" si="12"/>
        <v>44252</v>
      </c>
      <c r="B471" s="8">
        <f t="shared" si="13"/>
        <v>282846243.4</v>
      </c>
      <c r="C471" s="8">
        <f t="shared" si="14"/>
        <v>-0.00007205479452</v>
      </c>
      <c r="D471" s="8">
        <v>3829.34</v>
      </c>
      <c r="E471" s="8">
        <f t="shared" si="17"/>
        <v>-0.0244788469</v>
      </c>
      <c r="F471" s="53">
        <v>0.101249736</v>
      </c>
      <c r="G471" s="8">
        <f t="shared" si="16"/>
        <v>0.00000277396537</v>
      </c>
      <c r="H471" s="8">
        <f t="shared" si="11"/>
        <v>3829.34</v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54">
        <f t="shared" si="12"/>
        <v>44253</v>
      </c>
      <c r="B472" s="8">
        <f t="shared" si="13"/>
        <v>282825862.9</v>
      </c>
      <c r="C472" s="8">
        <f t="shared" si="14"/>
        <v>-0.00007205479452</v>
      </c>
      <c r="D472" s="8">
        <v>3811.15</v>
      </c>
      <c r="E472" s="8">
        <f t="shared" si="17"/>
        <v>-0.004750165825</v>
      </c>
      <c r="F472" s="53">
        <v>0.083928042</v>
      </c>
      <c r="G472" s="8">
        <f t="shared" si="16"/>
        <v>0.000002299398411</v>
      </c>
      <c r="H472" s="8">
        <f t="shared" si="11"/>
        <v>3811.15</v>
      </c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54">
        <f t="shared" si="12"/>
        <v>44254</v>
      </c>
      <c r="B473" s="8">
        <f t="shared" si="13"/>
        <v>282805484</v>
      </c>
      <c r="C473" s="8">
        <f t="shared" si="14"/>
        <v>-0.00007205479452</v>
      </c>
      <c r="D473" s="8">
        <v>3811.15</v>
      </c>
      <c r="E473" s="8">
        <f t="shared" si="17"/>
        <v>0</v>
      </c>
      <c r="F473" s="53">
        <v>0.099110477</v>
      </c>
      <c r="G473" s="8">
        <f t="shared" si="16"/>
        <v>0.000002715355534</v>
      </c>
      <c r="H473" s="8">
        <f t="shared" si="11"/>
        <v>3811.15</v>
      </c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54">
        <f t="shared" si="12"/>
        <v>44255</v>
      </c>
      <c r="B474" s="8">
        <f t="shared" si="13"/>
        <v>282785106.5</v>
      </c>
      <c r="C474" s="8">
        <f t="shared" si="14"/>
        <v>-0.00007205479452</v>
      </c>
      <c r="D474" s="8">
        <v>3811.15</v>
      </c>
      <c r="E474" s="8">
        <f t="shared" si="17"/>
        <v>0</v>
      </c>
      <c r="F474" s="53">
        <v>0.110629601</v>
      </c>
      <c r="G474" s="8">
        <f t="shared" si="16"/>
        <v>0.000003030947973</v>
      </c>
      <c r="H474" s="8">
        <f t="shared" si="11"/>
        <v>3811.15</v>
      </c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54">
        <f t="shared" si="12"/>
        <v>44256</v>
      </c>
      <c r="B475" s="8">
        <f t="shared" si="13"/>
        <v>282764730.5</v>
      </c>
      <c r="C475" s="8">
        <f t="shared" si="14"/>
        <v>-0.00007205479452</v>
      </c>
      <c r="D475" s="8">
        <v>3901.82</v>
      </c>
      <c r="E475" s="8">
        <f t="shared" si="17"/>
        <v>0.02379071934</v>
      </c>
      <c r="F475" s="53">
        <v>0.108985885</v>
      </c>
      <c r="G475" s="8">
        <f t="shared" si="16"/>
        <v>0.000002985914658</v>
      </c>
      <c r="H475" s="8">
        <f t="shared" si="11"/>
        <v>3901.82</v>
      </c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54">
        <f t="shared" si="12"/>
        <v>44257</v>
      </c>
      <c r="B476" s="8">
        <f t="shared" si="13"/>
        <v>282744355.9</v>
      </c>
      <c r="C476" s="8">
        <f t="shared" si="14"/>
        <v>-0.00007205479452</v>
      </c>
      <c r="D476" s="8">
        <v>3870.29</v>
      </c>
      <c r="E476" s="8">
        <f t="shared" si="17"/>
        <v>-0.008080844324</v>
      </c>
      <c r="F476" s="53">
        <v>0.101108562</v>
      </c>
      <c r="G476" s="8">
        <f t="shared" si="16"/>
        <v>0.000002770097589</v>
      </c>
      <c r="H476" s="8">
        <f t="shared" si="11"/>
        <v>3870.29</v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54">
        <f t="shared" si="12"/>
        <v>44258</v>
      </c>
      <c r="B477" s="8">
        <f t="shared" si="13"/>
        <v>282723982.8</v>
      </c>
      <c r="C477" s="8">
        <f t="shared" si="14"/>
        <v>-0.00007205479452</v>
      </c>
      <c r="D477" s="8">
        <v>3819.72</v>
      </c>
      <c r="E477" s="8">
        <f t="shared" si="17"/>
        <v>-0.01306620434</v>
      </c>
      <c r="F477" s="53">
        <v>0.099501101</v>
      </c>
      <c r="G477" s="8">
        <f t="shared" si="16"/>
        <v>0.000002726057562</v>
      </c>
      <c r="H477" s="8">
        <f t="shared" si="11"/>
        <v>3819.72</v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54">
        <f t="shared" si="12"/>
        <v>44259</v>
      </c>
      <c r="B478" s="8">
        <f t="shared" si="13"/>
        <v>282703611.2</v>
      </c>
      <c r="C478" s="8">
        <f t="shared" si="14"/>
        <v>-0.00007205479452</v>
      </c>
      <c r="D478" s="8">
        <v>3768.47</v>
      </c>
      <c r="E478" s="8">
        <f t="shared" si="17"/>
        <v>-0.01341721383</v>
      </c>
      <c r="F478" s="53">
        <v>0.108854765</v>
      </c>
      <c r="G478" s="8">
        <f t="shared" si="16"/>
        <v>0.000002982322329</v>
      </c>
      <c r="H478" s="8">
        <f t="shared" si="11"/>
        <v>3768.47</v>
      </c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54">
        <f t="shared" si="12"/>
        <v>44260</v>
      </c>
      <c r="B479" s="8">
        <f t="shared" si="13"/>
        <v>282683241.1</v>
      </c>
      <c r="C479" s="8">
        <f t="shared" si="14"/>
        <v>-0.00007205479452</v>
      </c>
      <c r="D479" s="8">
        <v>3841.94</v>
      </c>
      <c r="E479" s="8">
        <f t="shared" si="17"/>
        <v>0.01949597582</v>
      </c>
      <c r="F479" s="53">
        <v>0.111165758</v>
      </c>
      <c r="G479" s="8">
        <f t="shared" si="16"/>
        <v>0.000003045637205</v>
      </c>
      <c r="H479" s="8">
        <f t="shared" si="11"/>
        <v>3841.94</v>
      </c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54">
        <f t="shared" si="12"/>
        <v>44261</v>
      </c>
      <c r="B480" s="8">
        <f t="shared" si="13"/>
        <v>282662872.4</v>
      </c>
      <c r="C480" s="8">
        <f t="shared" si="14"/>
        <v>-0.00007205479452</v>
      </c>
      <c r="D480" s="8">
        <v>3841.94</v>
      </c>
      <c r="E480" s="8">
        <f t="shared" si="17"/>
        <v>0</v>
      </c>
      <c r="F480" s="53">
        <v>0.121914705</v>
      </c>
      <c r="G480" s="8">
        <f t="shared" si="16"/>
        <v>0.000003340128904</v>
      </c>
      <c r="H480" s="8">
        <f t="shared" si="11"/>
        <v>3841.94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54">
        <f t="shared" si="12"/>
        <v>44262</v>
      </c>
      <c r="B481" s="8">
        <f t="shared" si="13"/>
        <v>282642505.2</v>
      </c>
      <c r="C481" s="8">
        <f t="shared" si="14"/>
        <v>-0.00007205479452</v>
      </c>
      <c r="D481" s="8">
        <v>3841.94</v>
      </c>
      <c r="E481" s="8">
        <f t="shared" si="17"/>
        <v>0</v>
      </c>
      <c r="F481" s="53">
        <v>0.105352595</v>
      </c>
      <c r="G481" s="8">
        <f t="shared" si="16"/>
        <v>0.000002886372466</v>
      </c>
      <c r="H481" s="8">
        <f t="shared" si="11"/>
        <v>3841.94</v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54">
        <f t="shared" si="12"/>
        <v>44263</v>
      </c>
      <c r="B482" s="8">
        <f t="shared" si="13"/>
        <v>282622139.4</v>
      </c>
      <c r="C482" s="8">
        <f t="shared" si="14"/>
        <v>-0.00007205479452</v>
      </c>
      <c r="D482" s="8">
        <v>3821.35</v>
      </c>
      <c r="E482" s="8">
        <f t="shared" si="17"/>
        <v>-0.005359271618</v>
      </c>
      <c r="F482" s="53">
        <v>0.113951729</v>
      </c>
      <c r="G482" s="8">
        <f t="shared" si="16"/>
        <v>0.000003121965178</v>
      </c>
      <c r="H482" s="8">
        <f t="shared" si="11"/>
        <v>3821.35</v>
      </c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54">
        <f t="shared" si="12"/>
        <v>44264</v>
      </c>
      <c r="B483" s="8">
        <f t="shared" si="13"/>
        <v>282601775.1</v>
      </c>
      <c r="C483" s="8">
        <f t="shared" si="14"/>
        <v>-0.00007205479452</v>
      </c>
      <c r="D483" s="8">
        <v>3875.44</v>
      </c>
      <c r="E483" s="8">
        <f t="shared" si="17"/>
        <v>0.01415468355</v>
      </c>
      <c r="F483" s="53">
        <v>0.084382162</v>
      </c>
      <c r="G483" s="8">
        <f t="shared" si="16"/>
        <v>0.000002311840055</v>
      </c>
      <c r="H483" s="8">
        <f t="shared" si="11"/>
        <v>3875.44</v>
      </c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54">
        <f t="shared" si="12"/>
        <v>44265</v>
      </c>
      <c r="B484" s="8">
        <f t="shared" si="13"/>
        <v>282581412.3</v>
      </c>
      <c r="C484" s="8">
        <f t="shared" si="14"/>
        <v>-0.00007205479452</v>
      </c>
      <c r="D484" s="8">
        <v>3898.81</v>
      </c>
      <c r="E484" s="8">
        <f t="shared" si="17"/>
        <v>0.006030283013</v>
      </c>
      <c r="F484" s="53">
        <v>0.098315188</v>
      </c>
      <c r="G484" s="8">
        <f t="shared" si="16"/>
        <v>0.000002693566795</v>
      </c>
      <c r="H484" s="8">
        <f t="shared" si="11"/>
        <v>3898.81</v>
      </c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54">
        <f t="shared" si="12"/>
        <v>44266</v>
      </c>
      <c r="B485" s="8">
        <f t="shared" si="13"/>
        <v>282561051</v>
      </c>
      <c r="C485" s="8">
        <f t="shared" si="14"/>
        <v>-0.00007205479452</v>
      </c>
      <c r="D485" s="8">
        <v>3939.34</v>
      </c>
      <c r="E485" s="8">
        <f t="shared" si="17"/>
        <v>0.01039547965</v>
      </c>
      <c r="F485" s="53">
        <v>0.095476362</v>
      </c>
      <c r="G485" s="8">
        <f t="shared" si="16"/>
        <v>0.00000261579074</v>
      </c>
      <c r="H485" s="8">
        <f t="shared" si="11"/>
        <v>3939.34</v>
      </c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54">
        <f t="shared" si="12"/>
        <v>44267</v>
      </c>
      <c r="B486" s="8">
        <f t="shared" si="13"/>
        <v>282540691.1</v>
      </c>
      <c r="C486" s="8">
        <f t="shared" si="14"/>
        <v>-0.00007205479452</v>
      </c>
      <c r="D486" s="8">
        <v>3943.34</v>
      </c>
      <c r="E486" s="8">
        <f t="shared" si="17"/>
        <v>0.001015398519</v>
      </c>
      <c r="F486" s="53">
        <v>0.094165174</v>
      </c>
      <c r="G486" s="8">
        <f t="shared" si="16"/>
        <v>0.000002579867781</v>
      </c>
      <c r="H486" s="8">
        <f t="shared" si="11"/>
        <v>3943.34</v>
      </c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54">
        <f t="shared" si="12"/>
        <v>44268</v>
      </c>
      <c r="B487" s="8">
        <f t="shared" si="13"/>
        <v>282520332.7</v>
      </c>
      <c r="C487" s="8">
        <f t="shared" si="14"/>
        <v>-0.00007205479452</v>
      </c>
      <c r="D487" s="8">
        <v>3943.34</v>
      </c>
      <c r="E487" s="8">
        <f t="shared" si="17"/>
        <v>0</v>
      </c>
      <c r="F487" s="53">
        <v>0.087660559</v>
      </c>
      <c r="G487" s="8">
        <f t="shared" si="16"/>
        <v>0.000002401659151</v>
      </c>
      <c r="H487" s="8">
        <f t="shared" si="11"/>
        <v>3943.34</v>
      </c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54">
        <f t="shared" si="12"/>
        <v>44269</v>
      </c>
      <c r="B488" s="8">
        <f t="shared" si="13"/>
        <v>282499975.7</v>
      </c>
      <c r="C488" s="8">
        <f t="shared" si="14"/>
        <v>-0.00007205479452</v>
      </c>
      <c r="D488" s="8">
        <v>3943.34</v>
      </c>
      <c r="E488" s="8">
        <f t="shared" si="17"/>
        <v>0</v>
      </c>
      <c r="F488" s="53">
        <v>0.108434575</v>
      </c>
      <c r="G488" s="8">
        <f t="shared" si="16"/>
        <v>0.000002970810274</v>
      </c>
      <c r="H488" s="8">
        <f t="shared" si="11"/>
        <v>3943.34</v>
      </c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54">
        <f t="shared" si="12"/>
        <v>44270</v>
      </c>
      <c r="B489" s="8">
        <f t="shared" si="13"/>
        <v>282479620.3</v>
      </c>
      <c r="C489" s="8">
        <f t="shared" si="14"/>
        <v>-0.00007205479452</v>
      </c>
      <c r="D489" s="8">
        <v>3968.94</v>
      </c>
      <c r="E489" s="8">
        <f t="shared" si="17"/>
        <v>0.006491958593</v>
      </c>
      <c r="F489" s="53">
        <v>0.089512958</v>
      </c>
      <c r="G489" s="8">
        <f t="shared" si="16"/>
        <v>0.000002452409808</v>
      </c>
      <c r="H489" s="8">
        <f t="shared" si="11"/>
        <v>3968.94</v>
      </c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54">
        <f t="shared" si="12"/>
        <v>44271</v>
      </c>
      <c r="B490" s="8">
        <f t="shared" si="13"/>
        <v>282459266.2</v>
      </c>
      <c r="C490" s="8">
        <f t="shared" si="14"/>
        <v>-0.00007205479452</v>
      </c>
      <c r="D490" s="8">
        <v>3962.71</v>
      </c>
      <c r="E490" s="8">
        <f t="shared" si="17"/>
        <v>-0.001569688632</v>
      </c>
      <c r="F490" s="53">
        <v>0.086913677</v>
      </c>
      <c r="G490" s="8">
        <f t="shared" si="16"/>
        <v>0.00000238119663</v>
      </c>
      <c r="H490" s="8">
        <f t="shared" si="11"/>
        <v>3962.71</v>
      </c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54">
        <f t="shared" si="12"/>
        <v>44272</v>
      </c>
      <c r="B491" s="8">
        <f t="shared" si="13"/>
        <v>282438913.7</v>
      </c>
      <c r="C491" s="8">
        <f t="shared" si="14"/>
        <v>-0.00007205479452</v>
      </c>
      <c r="D491" s="8">
        <v>3974.12</v>
      </c>
      <c r="E491" s="8">
        <f t="shared" si="17"/>
        <v>0.002879342672</v>
      </c>
      <c r="F491" s="53">
        <v>0.106276932</v>
      </c>
      <c r="G491" s="8">
        <f t="shared" si="16"/>
        <v>0.000002911696767</v>
      </c>
      <c r="H491" s="8">
        <f t="shared" si="11"/>
        <v>3974.12</v>
      </c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54">
        <f t="shared" si="12"/>
        <v>44273</v>
      </c>
      <c r="B492" s="8">
        <f t="shared" si="13"/>
        <v>282418562.6</v>
      </c>
      <c r="C492" s="8">
        <f t="shared" si="14"/>
        <v>-0.00007205479452</v>
      </c>
      <c r="D492" s="8">
        <v>3915.46</v>
      </c>
      <c r="E492" s="8">
        <f t="shared" si="17"/>
        <v>-0.01476050044</v>
      </c>
      <c r="F492" s="53">
        <v>0.087090643</v>
      </c>
      <c r="G492" s="8">
        <f t="shared" si="16"/>
        <v>0.000002386045014</v>
      </c>
      <c r="H492" s="8">
        <f t="shared" si="11"/>
        <v>3915.46</v>
      </c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54">
        <f t="shared" si="12"/>
        <v>44274</v>
      </c>
      <c r="B493" s="8">
        <f t="shared" si="13"/>
        <v>282398213</v>
      </c>
      <c r="C493" s="8">
        <f t="shared" si="14"/>
        <v>-0.00007205479452</v>
      </c>
      <c r="D493" s="8">
        <v>3913.1</v>
      </c>
      <c r="E493" s="8">
        <f t="shared" si="17"/>
        <v>-0.0006027388864</v>
      </c>
      <c r="F493" s="53">
        <v>0.093588233</v>
      </c>
      <c r="G493" s="8">
        <f t="shared" si="16"/>
        <v>0.000002564061178</v>
      </c>
      <c r="H493" s="8">
        <f t="shared" si="11"/>
        <v>3913.1</v>
      </c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54">
        <f t="shared" si="12"/>
        <v>44275</v>
      </c>
      <c r="B494" s="8">
        <f t="shared" si="13"/>
        <v>282377864.9</v>
      </c>
      <c r="C494" s="8">
        <f t="shared" si="14"/>
        <v>-0.00007205479452</v>
      </c>
      <c r="D494" s="8">
        <v>3913.1</v>
      </c>
      <c r="E494" s="8">
        <f t="shared" si="17"/>
        <v>0</v>
      </c>
      <c r="F494" s="53">
        <v>0.080679643</v>
      </c>
      <c r="G494" s="8">
        <f t="shared" si="16"/>
        <v>0.000002210401178</v>
      </c>
      <c r="H494" s="8">
        <f t="shared" si="11"/>
        <v>3913.1</v>
      </c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54">
        <f t="shared" si="12"/>
        <v>44276</v>
      </c>
      <c r="B495" s="8">
        <f t="shared" si="13"/>
        <v>282357518.2</v>
      </c>
      <c r="C495" s="8">
        <f t="shared" si="14"/>
        <v>-0.00007205479452</v>
      </c>
      <c r="D495" s="8">
        <v>3913.1</v>
      </c>
      <c r="E495" s="8">
        <f t="shared" si="17"/>
        <v>0</v>
      </c>
      <c r="F495" s="53">
        <v>0.098787541</v>
      </c>
      <c r="G495" s="8">
        <f t="shared" si="16"/>
        <v>0.000002706507973</v>
      </c>
      <c r="H495" s="8">
        <f t="shared" si="11"/>
        <v>3913.1</v>
      </c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54">
        <f t="shared" si="12"/>
        <v>44277</v>
      </c>
      <c r="B496" s="8">
        <f t="shared" si="13"/>
        <v>282337173</v>
      </c>
      <c r="C496" s="8">
        <f t="shared" si="14"/>
        <v>-0.00007205479452</v>
      </c>
      <c r="D496" s="8">
        <v>3940.59</v>
      </c>
      <c r="E496" s="8">
        <f t="shared" si="17"/>
        <v>0.007025120748</v>
      </c>
      <c r="F496" s="53">
        <v>0.086278332</v>
      </c>
      <c r="G496" s="8">
        <f t="shared" si="16"/>
        <v>0.000002363789918</v>
      </c>
      <c r="H496" s="8">
        <f t="shared" si="11"/>
        <v>3940.59</v>
      </c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54">
        <f t="shared" si="12"/>
        <v>44278</v>
      </c>
      <c r="B497" s="8">
        <f t="shared" si="13"/>
        <v>282316829.2</v>
      </c>
      <c r="C497" s="8">
        <f t="shared" si="14"/>
        <v>-0.00007205479452</v>
      </c>
      <c r="D497" s="8">
        <v>3910.52</v>
      </c>
      <c r="E497" s="8">
        <f t="shared" si="17"/>
        <v>-0.007630837007</v>
      </c>
      <c r="F497" s="53">
        <v>0.102137902</v>
      </c>
      <c r="G497" s="8">
        <f t="shared" si="16"/>
        <v>0.000002798298685</v>
      </c>
      <c r="H497" s="8">
        <f t="shared" si="11"/>
        <v>3910.52</v>
      </c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54">
        <f t="shared" si="12"/>
        <v>44279</v>
      </c>
      <c r="B498" s="8">
        <f t="shared" si="13"/>
        <v>282296486.9</v>
      </c>
      <c r="C498" s="8">
        <f t="shared" si="14"/>
        <v>-0.00007205479452</v>
      </c>
      <c r="D498" s="8">
        <v>3889.14</v>
      </c>
      <c r="E498" s="8">
        <f t="shared" si="17"/>
        <v>-0.005467303581</v>
      </c>
      <c r="F498" s="53">
        <v>0.095343663</v>
      </c>
      <c r="G498" s="8">
        <f t="shared" si="16"/>
        <v>0.000002612155151</v>
      </c>
      <c r="H498" s="8">
        <f t="shared" si="11"/>
        <v>3889.14</v>
      </c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54">
        <f t="shared" si="12"/>
        <v>44280</v>
      </c>
      <c r="B499" s="8">
        <f t="shared" si="13"/>
        <v>282276146.1</v>
      </c>
      <c r="C499" s="8">
        <f t="shared" si="14"/>
        <v>-0.00007205479452</v>
      </c>
      <c r="D499" s="8">
        <v>3909.52</v>
      </c>
      <c r="E499" s="8">
        <f t="shared" si="17"/>
        <v>0.005240233059</v>
      </c>
      <c r="F499" s="53">
        <v>0.094682335</v>
      </c>
      <c r="G499" s="8">
        <f t="shared" si="16"/>
        <v>0.000002594036575</v>
      </c>
      <c r="H499" s="8">
        <f t="shared" si="11"/>
        <v>3909.52</v>
      </c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54">
        <f t="shared" si="12"/>
        <v>44281</v>
      </c>
      <c r="B500" s="8">
        <f t="shared" si="13"/>
        <v>282255806.8</v>
      </c>
      <c r="C500" s="8">
        <f t="shared" si="14"/>
        <v>-0.00007205479452</v>
      </c>
      <c r="D500" s="8">
        <v>3974.54</v>
      </c>
      <c r="E500" s="8">
        <f t="shared" si="17"/>
        <v>0.01663119769</v>
      </c>
      <c r="F500" s="53">
        <v>0.072284454</v>
      </c>
      <c r="G500" s="8">
        <f t="shared" si="16"/>
        <v>0.000001980396</v>
      </c>
      <c r="H500" s="8">
        <f t="shared" si="11"/>
        <v>3974.54</v>
      </c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54">
        <f t="shared" si="12"/>
        <v>44282</v>
      </c>
      <c r="B501" s="8">
        <f t="shared" si="13"/>
        <v>282235468.9</v>
      </c>
      <c r="C501" s="8">
        <f t="shared" si="14"/>
        <v>-0.00007205479452</v>
      </c>
      <c r="D501" s="8">
        <v>3974.54</v>
      </c>
      <c r="E501" s="8">
        <f t="shared" si="17"/>
        <v>0</v>
      </c>
      <c r="F501" s="53">
        <v>0.094929031</v>
      </c>
      <c r="G501" s="8">
        <f t="shared" si="16"/>
        <v>0.00000260079537</v>
      </c>
      <c r="H501" s="8">
        <f t="shared" si="11"/>
        <v>3974.54</v>
      </c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54">
        <f t="shared" si="12"/>
        <v>44283</v>
      </c>
      <c r="B502" s="8">
        <f t="shared" si="13"/>
        <v>282215132.5</v>
      </c>
      <c r="C502" s="8">
        <f t="shared" si="14"/>
        <v>-0.00007205479452</v>
      </c>
      <c r="D502" s="8">
        <v>3974.54</v>
      </c>
      <c r="E502" s="8">
        <f t="shared" si="17"/>
        <v>0</v>
      </c>
      <c r="F502" s="53">
        <v>0.090628429</v>
      </c>
      <c r="G502" s="8">
        <f t="shared" si="16"/>
        <v>0.000002482970658</v>
      </c>
      <c r="H502" s="8">
        <f t="shared" si="11"/>
        <v>3974.54</v>
      </c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54">
        <f t="shared" si="12"/>
        <v>44284</v>
      </c>
      <c r="B503" s="8">
        <f t="shared" si="13"/>
        <v>282194797.5</v>
      </c>
      <c r="C503" s="8">
        <f t="shared" si="14"/>
        <v>-0.00007205479452</v>
      </c>
      <c r="D503" s="8">
        <v>3971.09</v>
      </c>
      <c r="E503" s="8">
        <f t="shared" si="17"/>
        <v>-0.000868024979</v>
      </c>
      <c r="F503" s="53">
        <v>0.114360493</v>
      </c>
      <c r="G503" s="8">
        <f t="shared" si="16"/>
        <v>0.000003133164192</v>
      </c>
      <c r="H503" s="8">
        <f t="shared" si="11"/>
        <v>3971.09</v>
      </c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54">
        <f t="shared" si="12"/>
        <v>44285</v>
      </c>
      <c r="B504" s="8">
        <f t="shared" si="13"/>
        <v>282174464</v>
      </c>
      <c r="C504" s="8">
        <f t="shared" si="14"/>
        <v>-0.00007205479452</v>
      </c>
      <c r="D504" s="8">
        <v>3958.55</v>
      </c>
      <c r="E504" s="8">
        <f t="shared" si="17"/>
        <v>-0.003157823167</v>
      </c>
      <c r="F504" s="53">
        <v>0.091452598</v>
      </c>
      <c r="G504" s="8">
        <f t="shared" si="16"/>
        <v>0.00000250555063</v>
      </c>
      <c r="H504" s="8">
        <f t="shared" si="11"/>
        <v>3958.55</v>
      </c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54">
        <f t="shared" si="12"/>
        <v>44286</v>
      </c>
      <c r="B505" s="8">
        <f t="shared" si="13"/>
        <v>282154132</v>
      </c>
      <c r="C505" s="8">
        <f t="shared" si="14"/>
        <v>-0.00007205479452</v>
      </c>
      <c r="D505" s="8">
        <v>3972.89</v>
      </c>
      <c r="E505" s="8">
        <f t="shared" si="17"/>
        <v>0.003622538556</v>
      </c>
      <c r="F505" s="53">
        <v>0.088749699</v>
      </c>
      <c r="G505" s="8">
        <f t="shared" si="16"/>
        <v>0.000002431498603</v>
      </c>
      <c r="H505" s="8">
        <f t="shared" si="11"/>
        <v>3972.89</v>
      </c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54">
        <f t="shared" si="12"/>
        <v>44287</v>
      </c>
      <c r="B506" s="8">
        <f t="shared" si="13"/>
        <v>282133801.5</v>
      </c>
      <c r="C506" s="8">
        <f t="shared" si="14"/>
        <v>-0.00007205479452</v>
      </c>
      <c r="D506" s="8">
        <v>4019.87</v>
      </c>
      <c r="E506" s="8">
        <f t="shared" si="17"/>
        <v>0.01182514492</v>
      </c>
      <c r="F506" s="53">
        <v>0.099888461</v>
      </c>
      <c r="G506" s="8">
        <f t="shared" si="16"/>
        <v>0.000002736670164</v>
      </c>
      <c r="H506" s="8">
        <f t="shared" si="11"/>
        <v>4019.87</v>
      </c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54">
        <f t="shared" si="12"/>
        <v>44288</v>
      </c>
      <c r="B507" s="8">
        <f t="shared" si="13"/>
        <v>282113472.4</v>
      </c>
      <c r="C507" s="8">
        <f t="shared" si="14"/>
        <v>-0.00007205479452</v>
      </c>
      <c r="D507" s="8">
        <v>4019.87</v>
      </c>
      <c r="E507" s="8">
        <f t="shared" si="17"/>
        <v>0</v>
      </c>
      <c r="F507" s="53">
        <v>0.097618567</v>
      </c>
      <c r="G507" s="8">
        <f t="shared" si="16"/>
        <v>0.000002674481288</v>
      </c>
      <c r="H507" s="8">
        <f t="shared" si="11"/>
        <v>4019.87</v>
      </c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54">
        <f t="shared" si="12"/>
        <v>44289</v>
      </c>
      <c r="B508" s="8">
        <f t="shared" si="13"/>
        <v>282093144.7</v>
      </c>
      <c r="C508" s="8">
        <f t="shared" si="14"/>
        <v>-0.00007205479452</v>
      </c>
      <c r="D508" s="8">
        <v>4019.87</v>
      </c>
      <c r="E508" s="8">
        <f t="shared" si="17"/>
        <v>0</v>
      </c>
      <c r="F508" s="53">
        <v>0.105984215</v>
      </c>
      <c r="G508" s="8">
        <f t="shared" si="16"/>
        <v>0.000002903677123</v>
      </c>
      <c r="H508" s="8">
        <f t="shared" si="11"/>
        <v>4019.87</v>
      </c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54">
        <f t="shared" si="12"/>
        <v>44290</v>
      </c>
      <c r="B509" s="8">
        <f t="shared" si="13"/>
        <v>282072818.6</v>
      </c>
      <c r="C509" s="8">
        <f t="shared" si="14"/>
        <v>-0.00007205479452</v>
      </c>
      <c r="D509" s="8">
        <v>4019.87</v>
      </c>
      <c r="E509" s="8">
        <f t="shared" si="17"/>
        <v>0</v>
      </c>
      <c r="F509" s="53">
        <v>0.108256149</v>
      </c>
      <c r="G509" s="8">
        <f t="shared" si="16"/>
        <v>0.00000296592189</v>
      </c>
      <c r="H509" s="8">
        <f t="shared" si="11"/>
        <v>4019.87</v>
      </c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54">
        <f t="shared" si="12"/>
        <v>44291</v>
      </c>
      <c r="B510" s="8">
        <f t="shared" si="13"/>
        <v>282052493.9</v>
      </c>
      <c r="C510" s="8">
        <f t="shared" si="14"/>
        <v>-0.00007205479452</v>
      </c>
      <c r="D510" s="8">
        <v>4077.91</v>
      </c>
      <c r="E510" s="8">
        <f t="shared" si="17"/>
        <v>0.01443827785</v>
      </c>
      <c r="F510" s="53">
        <v>0.105122569</v>
      </c>
      <c r="G510" s="8">
        <f t="shared" si="16"/>
        <v>0.000002880070384</v>
      </c>
      <c r="H510" s="8">
        <f t="shared" si="11"/>
        <v>4077.91</v>
      </c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54">
        <f t="shared" si="12"/>
        <v>44292</v>
      </c>
      <c r="B511" s="8">
        <f t="shared" si="13"/>
        <v>282032170.6</v>
      </c>
      <c r="C511" s="8">
        <f t="shared" si="14"/>
        <v>-0.00007205479452</v>
      </c>
      <c r="D511" s="8">
        <v>4073.94</v>
      </c>
      <c r="E511" s="8">
        <f t="shared" si="17"/>
        <v>-0.0009735379153</v>
      </c>
      <c r="F511" s="53">
        <v>0.110606325</v>
      </c>
      <c r="G511" s="8">
        <f t="shared" si="16"/>
        <v>0.000003030310274</v>
      </c>
      <c r="H511" s="8">
        <f t="shared" si="11"/>
        <v>4073.94</v>
      </c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54">
        <f t="shared" si="12"/>
        <v>44293</v>
      </c>
      <c r="B512" s="8">
        <f t="shared" si="13"/>
        <v>282011848.9</v>
      </c>
      <c r="C512" s="8">
        <f t="shared" si="14"/>
        <v>-0.00007205479452</v>
      </c>
      <c r="D512" s="8">
        <v>4079.95</v>
      </c>
      <c r="E512" s="8">
        <f t="shared" si="17"/>
        <v>0.001475230367</v>
      </c>
      <c r="F512" s="53">
        <v>0.092986874</v>
      </c>
      <c r="G512" s="8">
        <f t="shared" si="16"/>
        <v>0.000002547585589</v>
      </c>
      <c r="H512" s="8">
        <f t="shared" si="11"/>
        <v>4079.95</v>
      </c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54">
        <f t="shared" si="12"/>
        <v>44294</v>
      </c>
      <c r="B513" s="8">
        <f t="shared" si="13"/>
        <v>281991528.6</v>
      </c>
      <c r="C513" s="8">
        <f t="shared" si="14"/>
        <v>-0.00007205479452</v>
      </c>
      <c r="D513" s="8">
        <v>4097.17</v>
      </c>
      <c r="E513" s="8">
        <f t="shared" si="17"/>
        <v>0.004220639959</v>
      </c>
      <c r="F513" s="53">
        <v>0.111908189</v>
      </c>
      <c r="G513" s="8">
        <f t="shared" si="16"/>
        <v>0.000003065977781</v>
      </c>
      <c r="H513" s="8">
        <f t="shared" si="11"/>
        <v>4097.17</v>
      </c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54">
        <f t="shared" si="12"/>
        <v>44295</v>
      </c>
      <c r="B514" s="8">
        <f t="shared" si="13"/>
        <v>281971209.7</v>
      </c>
      <c r="C514" s="8">
        <f t="shared" si="14"/>
        <v>-0.00007205479452</v>
      </c>
      <c r="D514" s="8">
        <v>4128.8</v>
      </c>
      <c r="E514" s="8">
        <f t="shared" si="17"/>
        <v>0.007719962804</v>
      </c>
      <c r="F514" s="53">
        <v>0.099490838</v>
      </c>
      <c r="G514" s="8">
        <f t="shared" si="16"/>
        <v>0.000002725776384</v>
      </c>
      <c r="H514" s="8">
        <f t="shared" si="11"/>
        <v>4128.8</v>
      </c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54">
        <f t="shared" si="12"/>
        <v>44296</v>
      </c>
      <c r="B515" s="8">
        <f t="shared" si="13"/>
        <v>281950892.3</v>
      </c>
      <c r="C515" s="8">
        <f t="shared" si="14"/>
        <v>-0.00007205479452</v>
      </c>
      <c r="D515" s="8">
        <v>4128.8</v>
      </c>
      <c r="E515" s="8">
        <f t="shared" si="17"/>
        <v>0</v>
      </c>
      <c r="F515" s="53">
        <v>0.093171464</v>
      </c>
      <c r="G515" s="8">
        <f t="shared" si="16"/>
        <v>0.000002552642849</v>
      </c>
      <c r="H515" s="8">
        <f t="shared" si="11"/>
        <v>4128.8</v>
      </c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54">
        <f t="shared" si="12"/>
        <v>44297</v>
      </c>
      <c r="B516" s="8">
        <f t="shared" si="13"/>
        <v>281930576.4</v>
      </c>
      <c r="C516" s="8">
        <f t="shared" si="14"/>
        <v>-0.00007205479452</v>
      </c>
      <c r="D516" s="8">
        <v>4128.8</v>
      </c>
      <c r="E516" s="8">
        <f t="shared" si="17"/>
        <v>0</v>
      </c>
      <c r="F516" s="53">
        <v>0.099247058</v>
      </c>
      <c r="G516" s="8">
        <f t="shared" si="16"/>
        <v>0.000002719097479</v>
      </c>
      <c r="H516" s="8">
        <f t="shared" si="11"/>
        <v>4128.8</v>
      </c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54">
        <f t="shared" si="12"/>
        <v>44298</v>
      </c>
      <c r="B517" s="8">
        <f t="shared" si="13"/>
        <v>281910262</v>
      </c>
      <c r="C517" s="8">
        <f t="shared" si="14"/>
        <v>-0.00007205479452</v>
      </c>
      <c r="D517" s="8">
        <v>4127.99</v>
      </c>
      <c r="E517" s="8">
        <f t="shared" si="17"/>
        <v>-0.0001961829103</v>
      </c>
      <c r="F517" s="53">
        <v>0.093916103</v>
      </c>
      <c r="G517" s="8">
        <f t="shared" si="16"/>
        <v>0.000002573043918</v>
      </c>
      <c r="H517" s="8">
        <f t="shared" si="11"/>
        <v>4127.99</v>
      </c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54">
        <f t="shared" si="12"/>
        <v>44299</v>
      </c>
      <c r="B518" s="8">
        <f t="shared" si="13"/>
        <v>281889949</v>
      </c>
      <c r="C518" s="8">
        <f t="shared" si="14"/>
        <v>-0.00007205479452</v>
      </c>
      <c r="D518" s="8">
        <v>4141.59</v>
      </c>
      <c r="E518" s="8">
        <f t="shared" si="17"/>
        <v>0.003294581624</v>
      </c>
      <c r="F518" s="53">
        <v>0.103128216</v>
      </c>
      <c r="G518" s="8">
        <f t="shared" si="16"/>
        <v>0.000002825430575</v>
      </c>
      <c r="H518" s="8">
        <f t="shared" si="11"/>
        <v>4141.59</v>
      </c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54">
        <f t="shared" si="12"/>
        <v>44300</v>
      </c>
      <c r="B519" s="8">
        <f t="shared" si="13"/>
        <v>281869637.5</v>
      </c>
      <c r="C519" s="8">
        <f t="shared" si="14"/>
        <v>-0.00007205479452</v>
      </c>
      <c r="D519" s="8">
        <v>4124.66</v>
      </c>
      <c r="E519" s="8">
        <f t="shared" si="17"/>
        <v>-0.004087802028</v>
      </c>
      <c r="F519" s="53">
        <v>0.093910688</v>
      </c>
      <c r="G519" s="8">
        <f t="shared" si="16"/>
        <v>0.000002572895562</v>
      </c>
      <c r="H519" s="8">
        <f t="shared" si="11"/>
        <v>4124.66</v>
      </c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54">
        <f t="shared" si="12"/>
        <v>44301</v>
      </c>
      <c r="B520" s="8">
        <f t="shared" si="13"/>
        <v>281849327.4</v>
      </c>
      <c r="C520" s="8">
        <f t="shared" si="14"/>
        <v>-0.00007205479452</v>
      </c>
      <c r="D520" s="8">
        <v>4170.42</v>
      </c>
      <c r="E520" s="8">
        <f t="shared" si="17"/>
        <v>0.01109424777</v>
      </c>
      <c r="F520" s="53">
        <v>0.093892545</v>
      </c>
      <c r="G520" s="8">
        <f t="shared" si="16"/>
        <v>0.000002572398493</v>
      </c>
      <c r="H520" s="8">
        <f t="shared" si="11"/>
        <v>4170.42</v>
      </c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54">
        <f t="shared" si="12"/>
        <v>44302</v>
      </c>
      <c r="B521" s="8">
        <f t="shared" si="13"/>
        <v>281829018.8</v>
      </c>
      <c r="C521" s="8">
        <f t="shared" si="14"/>
        <v>-0.00007205479452</v>
      </c>
      <c r="D521" s="8">
        <v>4185.47</v>
      </c>
      <c r="E521" s="8">
        <f t="shared" si="17"/>
        <v>0.003608749239</v>
      </c>
      <c r="F521" s="53">
        <v>0.087709426</v>
      </c>
      <c r="G521" s="8">
        <f t="shared" si="16"/>
        <v>0.000002402997973</v>
      </c>
      <c r="H521" s="8">
        <f t="shared" si="11"/>
        <v>4185.47</v>
      </c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54">
        <f t="shared" si="12"/>
        <v>44303</v>
      </c>
      <c r="B522" s="8">
        <f t="shared" si="13"/>
        <v>281808711.7</v>
      </c>
      <c r="C522" s="8">
        <f t="shared" si="14"/>
        <v>-0.00007205479452</v>
      </c>
      <c r="D522" s="8">
        <v>4185.47</v>
      </c>
      <c r="E522" s="8">
        <f t="shared" si="17"/>
        <v>0</v>
      </c>
      <c r="F522" s="53">
        <v>0.093652351</v>
      </c>
      <c r="G522" s="8">
        <f t="shared" si="16"/>
        <v>0.000002565817836</v>
      </c>
      <c r="H522" s="8">
        <f t="shared" si="11"/>
        <v>4185.47</v>
      </c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54">
        <f t="shared" si="12"/>
        <v>44304</v>
      </c>
      <c r="B523" s="8">
        <f t="shared" si="13"/>
        <v>281788406</v>
      </c>
      <c r="C523" s="8">
        <f t="shared" si="14"/>
        <v>-0.00007205479452</v>
      </c>
      <c r="D523" s="8">
        <v>4185.47</v>
      </c>
      <c r="E523" s="8">
        <f t="shared" si="17"/>
        <v>0</v>
      </c>
      <c r="F523" s="53">
        <v>0.101879209</v>
      </c>
      <c r="G523" s="8">
        <f t="shared" si="16"/>
        <v>0.000002791211205</v>
      </c>
      <c r="H523" s="8">
        <f t="shared" si="11"/>
        <v>4185.47</v>
      </c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54">
        <f t="shared" si="12"/>
        <v>44305</v>
      </c>
      <c r="B524" s="8">
        <f t="shared" si="13"/>
        <v>281768101.8</v>
      </c>
      <c r="C524" s="8">
        <f t="shared" si="14"/>
        <v>-0.00007205479452</v>
      </c>
      <c r="D524" s="8">
        <v>4163.26</v>
      </c>
      <c r="E524" s="8">
        <f t="shared" si="17"/>
        <v>-0.005306453039</v>
      </c>
      <c r="F524" s="53">
        <v>0.093957192</v>
      </c>
      <c r="G524" s="8">
        <f t="shared" si="16"/>
        <v>0.000002574169644</v>
      </c>
      <c r="H524" s="8">
        <f t="shared" si="11"/>
        <v>4163.26</v>
      </c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54">
        <f t="shared" si="12"/>
        <v>44306</v>
      </c>
      <c r="B525" s="8">
        <f t="shared" si="13"/>
        <v>281747799.1</v>
      </c>
      <c r="C525" s="8">
        <f t="shared" si="14"/>
        <v>-0.00007205479452</v>
      </c>
      <c r="D525" s="8">
        <v>4134.94</v>
      </c>
      <c r="E525" s="8">
        <f t="shared" si="17"/>
        <v>-0.006802361611</v>
      </c>
      <c r="F525" s="53">
        <v>0.09673799</v>
      </c>
      <c r="G525" s="8">
        <f t="shared" si="16"/>
        <v>0.00000265035589</v>
      </c>
      <c r="H525" s="8">
        <f t="shared" si="11"/>
        <v>4134.94</v>
      </c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54">
        <f t="shared" si="12"/>
        <v>44307</v>
      </c>
      <c r="B526" s="8">
        <f t="shared" si="13"/>
        <v>281727497.8</v>
      </c>
      <c r="C526" s="8">
        <f t="shared" si="14"/>
        <v>-0.00007205479452</v>
      </c>
      <c r="D526" s="8">
        <v>4173.42</v>
      </c>
      <c r="E526" s="8">
        <f t="shared" si="17"/>
        <v>0.009306060064</v>
      </c>
      <c r="F526" s="53">
        <v>0.084711283</v>
      </c>
      <c r="G526" s="8">
        <f t="shared" si="16"/>
        <v>0.000002320857068</v>
      </c>
      <c r="H526" s="8">
        <f t="shared" si="11"/>
        <v>4173.42</v>
      </c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54">
        <f t="shared" si="12"/>
        <v>44308</v>
      </c>
      <c r="B527" s="8">
        <f t="shared" si="13"/>
        <v>281707198</v>
      </c>
      <c r="C527" s="8">
        <f t="shared" si="14"/>
        <v>-0.00007205479452</v>
      </c>
      <c r="D527" s="8">
        <v>4134.98</v>
      </c>
      <c r="E527" s="8">
        <f t="shared" si="17"/>
        <v>-0.009210671344</v>
      </c>
      <c r="F527" s="53">
        <v>0.102280113</v>
      </c>
      <c r="G527" s="8">
        <f t="shared" si="16"/>
        <v>0.000002802194877</v>
      </c>
      <c r="H527" s="8">
        <f t="shared" si="11"/>
        <v>4134.98</v>
      </c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54">
        <f t="shared" si="12"/>
        <v>44309</v>
      </c>
      <c r="B528" s="8">
        <f t="shared" si="13"/>
        <v>281686899.6</v>
      </c>
      <c r="C528" s="8">
        <f t="shared" si="14"/>
        <v>-0.00007205479452</v>
      </c>
      <c r="D528" s="8">
        <v>4180.17</v>
      </c>
      <c r="E528" s="8">
        <f t="shared" si="17"/>
        <v>0.01092871066</v>
      </c>
      <c r="F528" s="53">
        <v>0.102099836</v>
      </c>
      <c r="G528" s="8">
        <f t="shared" si="16"/>
        <v>0.000002797255781</v>
      </c>
      <c r="H528" s="8">
        <f t="shared" si="11"/>
        <v>4180.17</v>
      </c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54">
        <f t="shared" si="12"/>
        <v>44310</v>
      </c>
      <c r="B529" s="8">
        <f t="shared" si="13"/>
        <v>281666602.7</v>
      </c>
      <c r="C529" s="8">
        <f t="shared" si="14"/>
        <v>-0.00007205479452</v>
      </c>
      <c r="D529" s="8">
        <v>4180.17</v>
      </c>
      <c r="E529" s="8">
        <f t="shared" si="17"/>
        <v>0</v>
      </c>
      <c r="F529" s="53">
        <v>0.109172644</v>
      </c>
      <c r="G529" s="8">
        <f t="shared" si="16"/>
        <v>0.000002991031342</v>
      </c>
      <c r="H529" s="8">
        <f t="shared" si="11"/>
        <v>4180.17</v>
      </c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54">
        <f t="shared" si="12"/>
        <v>44311</v>
      </c>
      <c r="B530" s="8">
        <f t="shared" si="13"/>
        <v>281646307.3</v>
      </c>
      <c r="C530" s="8">
        <f t="shared" si="14"/>
        <v>-0.00007205479452</v>
      </c>
      <c r="D530" s="8">
        <v>4180.17</v>
      </c>
      <c r="E530" s="8">
        <f t="shared" si="17"/>
        <v>0</v>
      </c>
      <c r="F530" s="53">
        <v>0.093545062</v>
      </c>
      <c r="G530" s="8">
        <f t="shared" si="16"/>
        <v>0.000002562878411</v>
      </c>
      <c r="H530" s="8">
        <f t="shared" si="11"/>
        <v>4180.17</v>
      </c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54">
        <f t="shared" si="12"/>
        <v>44312</v>
      </c>
      <c r="B531" s="8">
        <f t="shared" si="13"/>
        <v>281626013.3</v>
      </c>
      <c r="C531" s="8">
        <f t="shared" si="14"/>
        <v>-0.00007205479452</v>
      </c>
      <c r="D531" s="8">
        <v>4187.62</v>
      </c>
      <c r="E531" s="8">
        <f t="shared" si="17"/>
        <v>0.001782224168</v>
      </c>
      <c r="F531" s="53">
        <v>0.106863591</v>
      </c>
      <c r="G531" s="8">
        <f t="shared" si="16"/>
        <v>0.000002927769616</v>
      </c>
      <c r="H531" s="8">
        <f t="shared" si="11"/>
        <v>4187.62</v>
      </c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54">
        <f t="shared" si="12"/>
        <v>44313</v>
      </c>
      <c r="B532" s="8">
        <f t="shared" si="13"/>
        <v>281605720.8</v>
      </c>
      <c r="C532" s="8">
        <f t="shared" si="14"/>
        <v>-0.00007205479452</v>
      </c>
      <c r="D532" s="8">
        <v>4186.72</v>
      </c>
      <c r="E532" s="8">
        <f t="shared" si="17"/>
        <v>-0.0002149192143</v>
      </c>
      <c r="F532" s="53">
        <v>0.083575792</v>
      </c>
      <c r="G532" s="8">
        <f t="shared" si="16"/>
        <v>0.000002289747726</v>
      </c>
      <c r="H532" s="8">
        <f t="shared" si="11"/>
        <v>4186.72</v>
      </c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54">
        <f t="shared" si="12"/>
        <v>44314</v>
      </c>
      <c r="B533" s="8">
        <f t="shared" si="13"/>
        <v>281585429.8</v>
      </c>
      <c r="C533" s="8">
        <f t="shared" si="14"/>
        <v>-0.00007205479452</v>
      </c>
      <c r="D533" s="8">
        <v>4183.18</v>
      </c>
      <c r="E533" s="8">
        <f t="shared" si="17"/>
        <v>-0.0008455306302</v>
      </c>
      <c r="F533" s="53">
        <v>0.087536375</v>
      </c>
      <c r="G533" s="8">
        <f t="shared" si="16"/>
        <v>0.000002398256849</v>
      </c>
      <c r="H533" s="8">
        <f t="shared" si="11"/>
        <v>4183.18</v>
      </c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54">
        <f t="shared" si="12"/>
        <v>44315</v>
      </c>
      <c r="B534" s="8">
        <f t="shared" si="13"/>
        <v>281565140.2</v>
      </c>
      <c r="C534" s="8">
        <f t="shared" si="14"/>
        <v>-0.00007205479452</v>
      </c>
      <c r="D534" s="8">
        <v>4211.47</v>
      </c>
      <c r="E534" s="8">
        <f t="shared" si="17"/>
        <v>0.00676279768</v>
      </c>
      <c r="F534" s="53">
        <v>0.101766611</v>
      </c>
      <c r="G534" s="8">
        <f t="shared" si="16"/>
        <v>0.000002788126329</v>
      </c>
      <c r="H534" s="8">
        <f t="shared" si="11"/>
        <v>4211.47</v>
      </c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54">
        <f t="shared" si="12"/>
        <v>44316</v>
      </c>
      <c r="B535" s="8">
        <f t="shared" si="13"/>
        <v>281544852.1</v>
      </c>
      <c r="C535" s="8">
        <f t="shared" si="14"/>
        <v>-0.00007205479452</v>
      </c>
      <c r="D535" s="8">
        <v>4181.17</v>
      </c>
      <c r="E535" s="8">
        <f t="shared" si="17"/>
        <v>-0.007194637502</v>
      </c>
      <c r="F535" s="53">
        <v>0.105058223</v>
      </c>
      <c r="G535" s="8">
        <f t="shared" si="16"/>
        <v>0.000002878307479</v>
      </c>
      <c r="H535" s="8">
        <f t="shared" si="11"/>
        <v>4181.17</v>
      </c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54">
        <f t="shared" si="12"/>
        <v>44317</v>
      </c>
      <c r="B536" s="8">
        <f t="shared" si="13"/>
        <v>281524565.4</v>
      </c>
      <c r="C536" s="8">
        <f t="shared" si="14"/>
        <v>-0.00007205479452</v>
      </c>
      <c r="D536" s="8">
        <v>4181.17</v>
      </c>
      <c r="E536" s="8">
        <f t="shared" si="17"/>
        <v>0</v>
      </c>
      <c r="F536" s="53">
        <v>0.100351925</v>
      </c>
      <c r="G536" s="8">
        <f t="shared" si="16"/>
        <v>0.000002749367808</v>
      </c>
      <c r="H536" s="8">
        <f t="shared" si="11"/>
        <v>4181.17</v>
      </c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54">
        <f t="shared" si="12"/>
        <v>44318</v>
      </c>
      <c r="B537" s="8">
        <f t="shared" si="13"/>
        <v>281504280.2</v>
      </c>
      <c r="C537" s="8">
        <f t="shared" si="14"/>
        <v>-0.00007205479452</v>
      </c>
      <c r="D537" s="8">
        <v>4181.17</v>
      </c>
      <c r="E537" s="8">
        <f t="shared" si="17"/>
        <v>0</v>
      </c>
      <c r="F537" s="53">
        <v>0.092431913</v>
      </c>
      <c r="G537" s="8">
        <f t="shared" si="16"/>
        <v>0.000002532381178</v>
      </c>
      <c r="H537" s="8">
        <f t="shared" si="11"/>
        <v>4181.17</v>
      </c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54">
        <f t="shared" si="12"/>
        <v>44319</v>
      </c>
      <c r="B538" s="8">
        <f t="shared" si="13"/>
        <v>281483996.5</v>
      </c>
      <c r="C538" s="8">
        <f t="shared" si="14"/>
        <v>-0.00007205479452</v>
      </c>
      <c r="D538" s="8">
        <v>4192.66</v>
      </c>
      <c r="E538" s="8">
        <f t="shared" si="17"/>
        <v>0.002748034641</v>
      </c>
      <c r="F538" s="53">
        <v>0.091766632</v>
      </c>
      <c r="G538" s="8">
        <f t="shared" si="16"/>
        <v>0.000002514154301</v>
      </c>
      <c r="H538" s="8">
        <f t="shared" si="11"/>
        <v>4192.66</v>
      </c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54">
        <f t="shared" si="12"/>
        <v>44320</v>
      </c>
      <c r="B539" s="8">
        <f t="shared" si="13"/>
        <v>281463714.2</v>
      </c>
      <c r="C539" s="8">
        <f t="shared" si="14"/>
        <v>-0.00007205479452</v>
      </c>
      <c r="D539" s="8">
        <v>4164.66</v>
      </c>
      <c r="E539" s="8">
        <f t="shared" si="17"/>
        <v>-0.006678337857</v>
      </c>
      <c r="F539" s="53">
        <v>0.09763056</v>
      </c>
      <c r="G539" s="8">
        <f t="shared" si="16"/>
        <v>0.000002674809863</v>
      </c>
      <c r="H539" s="8">
        <f t="shared" si="11"/>
        <v>4164.66</v>
      </c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54">
        <f t="shared" si="12"/>
        <v>44321</v>
      </c>
      <c r="B540" s="8">
        <f t="shared" si="13"/>
        <v>281443433.4</v>
      </c>
      <c r="C540" s="8">
        <f t="shared" si="14"/>
        <v>-0.00007205479452</v>
      </c>
      <c r="D540" s="8">
        <v>4167.59</v>
      </c>
      <c r="E540" s="8">
        <f t="shared" si="17"/>
        <v>0.0007035388243</v>
      </c>
      <c r="F540" s="53">
        <v>0.105720061</v>
      </c>
      <c r="G540" s="8">
        <f t="shared" si="16"/>
        <v>0.000002896440027</v>
      </c>
      <c r="H540" s="8">
        <f t="shared" si="11"/>
        <v>4167.59</v>
      </c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54">
        <f t="shared" si="12"/>
        <v>44322</v>
      </c>
      <c r="B541" s="8">
        <f t="shared" si="13"/>
        <v>281423154.1</v>
      </c>
      <c r="C541" s="8">
        <f t="shared" si="14"/>
        <v>-0.00007205479452</v>
      </c>
      <c r="D541" s="8">
        <v>4201.62</v>
      </c>
      <c r="E541" s="8">
        <f t="shared" si="17"/>
        <v>0.008165390549</v>
      </c>
      <c r="F541" s="53">
        <v>0.093528397</v>
      </c>
      <c r="G541" s="8">
        <f t="shared" si="16"/>
        <v>0.000002562421836</v>
      </c>
      <c r="H541" s="8">
        <f t="shared" si="11"/>
        <v>4201.62</v>
      </c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54">
        <f t="shared" si="12"/>
        <v>44323</v>
      </c>
      <c r="B542" s="8">
        <f t="shared" si="13"/>
        <v>281402876.2</v>
      </c>
      <c r="C542" s="8">
        <f t="shared" si="14"/>
        <v>-0.00007205479452</v>
      </c>
      <c r="D542" s="8">
        <v>4232.6</v>
      </c>
      <c r="E542" s="8">
        <f t="shared" si="17"/>
        <v>0.007373346471</v>
      </c>
      <c r="F542" s="53">
        <v>0.103563183</v>
      </c>
      <c r="G542" s="8">
        <f t="shared" si="16"/>
        <v>0.000002837347479</v>
      </c>
      <c r="H542" s="8">
        <f t="shared" si="11"/>
        <v>4232.6</v>
      </c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54">
        <f t="shared" si="12"/>
        <v>44324</v>
      </c>
      <c r="B543" s="8">
        <f t="shared" si="13"/>
        <v>281382599.8</v>
      </c>
      <c r="C543" s="8">
        <f t="shared" si="14"/>
        <v>-0.00007205479452</v>
      </c>
      <c r="D543" s="8">
        <v>4232.6</v>
      </c>
      <c r="E543" s="8">
        <f t="shared" si="17"/>
        <v>0</v>
      </c>
      <c r="F543" s="53">
        <v>0.09279844</v>
      </c>
      <c r="G543" s="8">
        <f t="shared" si="16"/>
        <v>0.000002542423014</v>
      </c>
      <c r="H543" s="8">
        <f t="shared" si="11"/>
        <v>4232.6</v>
      </c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54">
        <f t="shared" si="12"/>
        <v>44325</v>
      </c>
      <c r="B544" s="8">
        <f t="shared" si="13"/>
        <v>281362324.8</v>
      </c>
      <c r="C544" s="8">
        <f t="shared" si="14"/>
        <v>-0.00007205479452</v>
      </c>
      <c r="D544" s="8">
        <v>4232.6</v>
      </c>
      <c r="E544" s="8">
        <f t="shared" si="17"/>
        <v>0</v>
      </c>
      <c r="F544" s="53">
        <v>0.078416846</v>
      </c>
      <c r="G544" s="8">
        <f t="shared" si="16"/>
        <v>0.00000214840674</v>
      </c>
      <c r="H544" s="8">
        <f t="shared" si="11"/>
        <v>4232.6</v>
      </c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54">
        <f t="shared" si="12"/>
        <v>44326</v>
      </c>
      <c r="B545" s="8">
        <f t="shared" si="13"/>
        <v>281342051.3</v>
      </c>
      <c r="C545" s="8">
        <f t="shared" si="14"/>
        <v>-0.00007205479452</v>
      </c>
      <c r="D545" s="8">
        <v>4188.43</v>
      </c>
      <c r="E545" s="8">
        <f t="shared" si="17"/>
        <v>-0.01043566602</v>
      </c>
      <c r="F545" s="53">
        <v>0.079902945</v>
      </c>
      <c r="G545" s="8">
        <f t="shared" si="16"/>
        <v>0.000002189121781</v>
      </c>
      <c r="H545" s="8">
        <f t="shared" si="11"/>
        <v>4188.43</v>
      </c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54">
        <f t="shared" si="12"/>
        <v>44327</v>
      </c>
      <c r="B546" s="8">
        <f t="shared" si="13"/>
        <v>281321779.2</v>
      </c>
      <c r="C546" s="8">
        <f t="shared" si="14"/>
        <v>-0.00007205479452</v>
      </c>
      <c r="D546" s="8">
        <v>4152.1</v>
      </c>
      <c r="E546" s="8">
        <f t="shared" si="17"/>
        <v>-0.008673894514</v>
      </c>
      <c r="F546" s="53">
        <v>0.102688327</v>
      </c>
      <c r="G546" s="8">
        <f t="shared" si="16"/>
        <v>0.000002813378822</v>
      </c>
      <c r="H546" s="8">
        <f t="shared" si="11"/>
        <v>4152.1</v>
      </c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54">
        <f t="shared" si="12"/>
        <v>44328</v>
      </c>
      <c r="B547" s="8">
        <f t="shared" si="13"/>
        <v>281301508.7</v>
      </c>
      <c r="C547" s="8">
        <f t="shared" si="14"/>
        <v>-0.00007205479452</v>
      </c>
      <c r="D547" s="8">
        <v>4063.04</v>
      </c>
      <c r="E547" s="8">
        <f t="shared" si="17"/>
        <v>-0.02144938706</v>
      </c>
      <c r="F547" s="53">
        <v>0.090730561</v>
      </c>
      <c r="G547" s="8">
        <f t="shared" si="16"/>
        <v>0.000002485768795</v>
      </c>
      <c r="H547" s="8">
        <f t="shared" si="11"/>
        <v>4063.04</v>
      </c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54">
        <f t="shared" si="12"/>
        <v>44329</v>
      </c>
      <c r="B548" s="8">
        <f t="shared" si="13"/>
        <v>281281239.5</v>
      </c>
      <c r="C548" s="8">
        <f t="shared" si="14"/>
        <v>-0.00007205479452</v>
      </c>
      <c r="D548" s="8">
        <v>4112.5</v>
      </c>
      <c r="E548" s="8">
        <f t="shared" si="17"/>
        <v>0.01217315114</v>
      </c>
      <c r="F548" s="53">
        <v>0.08362196</v>
      </c>
      <c r="G548" s="8">
        <f t="shared" si="16"/>
        <v>0.000002291012603</v>
      </c>
      <c r="H548" s="8">
        <f t="shared" si="11"/>
        <v>4112.5</v>
      </c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54">
        <f t="shared" si="12"/>
        <v>44330</v>
      </c>
      <c r="B549" s="8">
        <f t="shared" si="13"/>
        <v>281260971.9</v>
      </c>
      <c r="C549" s="8">
        <f t="shared" si="14"/>
        <v>-0.00007205479452</v>
      </c>
      <c r="D549" s="8">
        <v>4173.85</v>
      </c>
      <c r="E549" s="8">
        <f t="shared" si="17"/>
        <v>0.01491793313</v>
      </c>
      <c r="F549" s="53">
        <v>0.096689743</v>
      </c>
      <c r="G549" s="8">
        <f t="shared" si="16"/>
        <v>0.000002649034055</v>
      </c>
      <c r="H549" s="8">
        <f t="shared" si="11"/>
        <v>4173.85</v>
      </c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54">
        <f t="shared" si="12"/>
        <v>44331</v>
      </c>
      <c r="B550" s="8">
        <f t="shared" si="13"/>
        <v>281240705.7</v>
      </c>
      <c r="C550" s="8">
        <f t="shared" si="14"/>
        <v>-0.00007205479452</v>
      </c>
      <c r="D550" s="8">
        <v>4173.85</v>
      </c>
      <c r="E550" s="8">
        <f t="shared" si="17"/>
        <v>0</v>
      </c>
      <c r="F550" s="53">
        <v>0.104925456</v>
      </c>
      <c r="G550" s="8">
        <f t="shared" si="16"/>
        <v>0.000002874670027</v>
      </c>
      <c r="H550" s="8">
        <f t="shared" si="11"/>
        <v>4173.85</v>
      </c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54">
        <f t="shared" si="12"/>
        <v>44332</v>
      </c>
      <c r="B551" s="8">
        <f t="shared" si="13"/>
        <v>281220440.9</v>
      </c>
      <c r="C551" s="8">
        <f t="shared" si="14"/>
        <v>-0.00007205479452</v>
      </c>
      <c r="D551" s="8">
        <v>4173.85</v>
      </c>
      <c r="E551" s="8">
        <f t="shared" si="17"/>
        <v>0</v>
      </c>
      <c r="F551" s="53">
        <v>0.095547807</v>
      </c>
      <c r="G551" s="8">
        <f t="shared" si="16"/>
        <v>0.000002617748137</v>
      </c>
      <c r="H551" s="8">
        <f t="shared" si="11"/>
        <v>4173.85</v>
      </c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54">
        <f t="shared" si="12"/>
        <v>44333</v>
      </c>
      <c r="B552" s="8">
        <f t="shared" si="13"/>
        <v>281200177.7</v>
      </c>
      <c r="C552" s="8">
        <f t="shared" si="14"/>
        <v>-0.00007205479452</v>
      </c>
      <c r="D552" s="8">
        <v>4163.29</v>
      </c>
      <c r="E552" s="8">
        <f t="shared" si="17"/>
        <v>-0.002530038214</v>
      </c>
      <c r="F552" s="53">
        <v>0.109668704</v>
      </c>
      <c r="G552" s="8">
        <f t="shared" si="16"/>
        <v>0.000003004622027</v>
      </c>
      <c r="H552" s="8">
        <f t="shared" si="11"/>
        <v>4163.29</v>
      </c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54">
        <f t="shared" si="12"/>
        <v>44334</v>
      </c>
      <c r="B553" s="8">
        <f t="shared" si="13"/>
        <v>281179915.8</v>
      </c>
      <c r="C553" s="8">
        <f t="shared" si="14"/>
        <v>-0.00007205479452</v>
      </c>
      <c r="D553" s="8">
        <v>4127.83</v>
      </c>
      <c r="E553" s="8">
        <f t="shared" si="17"/>
        <v>-0.008517302422</v>
      </c>
      <c r="F553" s="53">
        <v>0.097403259</v>
      </c>
      <c r="G553" s="8">
        <f t="shared" si="16"/>
        <v>0.000002668582438</v>
      </c>
      <c r="H553" s="8">
        <f t="shared" si="11"/>
        <v>4127.83</v>
      </c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54">
        <f t="shared" si="12"/>
        <v>44335</v>
      </c>
      <c r="B554" s="8">
        <f t="shared" si="13"/>
        <v>281159655.5</v>
      </c>
      <c r="C554" s="8">
        <f t="shared" si="14"/>
        <v>-0.00007205479452</v>
      </c>
      <c r="D554" s="8">
        <v>4115.68</v>
      </c>
      <c r="E554" s="8">
        <f t="shared" si="17"/>
        <v>-0.002943435171</v>
      </c>
      <c r="F554" s="53">
        <v>0.104986906</v>
      </c>
      <c r="G554" s="8">
        <f t="shared" si="16"/>
        <v>0.000002876353589</v>
      </c>
      <c r="H554" s="8">
        <f t="shared" si="11"/>
        <v>4115.68</v>
      </c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54">
        <f t="shared" si="12"/>
        <v>44336</v>
      </c>
      <c r="B555" s="8">
        <f t="shared" si="13"/>
        <v>281139396.6</v>
      </c>
      <c r="C555" s="8">
        <f t="shared" si="14"/>
        <v>-0.00007205479452</v>
      </c>
      <c r="D555" s="8">
        <v>4159.12</v>
      </c>
      <c r="E555" s="8">
        <f t="shared" si="17"/>
        <v>0.01055475644</v>
      </c>
      <c r="F555" s="53">
        <v>0.107506319</v>
      </c>
      <c r="G555" s="8">
        <f t="shared" si="16"/>
        <v>0.000002945378603</v>
      </c>
      <c r="H555" s="8">
        <f t="shared" si="11"/>
        <v>4159.12</v>
      </c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54">
        <f t="shared" si="12"/>
        <v>44337</v>
      </c>
      <c r="B556" s="8">
        <f t="shared" si="13"/>
        <v>281119139.1</v>
      </c>
      <c r="C556" s="8">
        <f t="shared" si="14"/>
        <v>-0.00007205479452</v>
      </c>
      <c r="D556" s="8">
        <v>4155.86</v>
      </c>
      <c r="E556" s="8">
        <f t="shared" si="17"/>
        <v>-0.0007838196542</v>
      </c>
      <c r="F556" s="53">
        <v>0.098739036</v>
      </c>
      <c r="G556" s="8">
        <f t="shared" si="16"/>
        <v>0.000002705179068</v>
      </c>
      <c r="H556" s="8">
        <f t="shared" si="11"/>
        <v>4155.86</v>
      </c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54">
        <f t="shared" si="12"/>
        <v>44338</v>
      </c>
      <c r="B557" s="8">
        <f t="shared" si="13"/>
        <v>281098883.1</v>
      </c>
      <c r="C557" s="8">
        <f t="shared" si="14"/>
        <v>-0.00007205479452</v>
      </c>
      <c r="D557" s="8">
        <v>4155.86</v>
      </c>
      <c r="E557" s="8">
        <f t="shared" si="17"/>
        <v>0</v>
      </c>
      <c r="F557" s="53">
        <v>0.097426697</v>
      </c>
      <c r="G557" s="8">
        <f t="shared" si="16"/>
        <v>0.000002669224575</v>
      </c>
      <c r="H557" s="8">
        <f t="shared" si="11"/>
        <v>4155.86</v>
      </c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54">
        <f t="shared" si="12"/>
        <v>44339</v>
      </c>
      <c r="B558" s="8">
        <f t="shared" si="13"/>
        <v>281078628.6</v>
      </c>
      <c r="C558" s="8">
        <f t="shared" si="14"/>
        <v>-0.00007205479452</v>
      </c>
      <c r="D558" s="8">
        <v>4155.86</v>
      </c>
      <c r="E558" s="8">
        <f t="shared" si="17"/>
        <v>0</v>
      </c>
      <c r="F558" s="53">
        <v>0.106403529</v>
      </c>
      <c r="G558" s="8">
        <f t="shared" si="16"/>
        <v>0.000002915165178</v>
      </c>
      <c r="H558" s="8">
        <f t="shared" si="11"/>
        <v>4155.86</v>
      </c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54">
        <f t="shared" si="12"/>
        <v>44340</v>
      </c>
      <c r="B559" s="8">
        <f t="shared" si="13"/>
        <v>281058375.6</v>
      </c>
      <c r="C559" s="8">
        <f t="shared" si="14"/>
        <v>-0.00007205479452</v>
      </c>
      <c r="D559" s="8">
        <v>4197.05</v>
      </c>
      <c r="E559" s="8">
        <f t="shared" si="17"/>
        <v>0.009911305963</v>
      </c>
      <c r="F559" s="53">
        <v>0.083752926</v>
      </c>
      <c r="G559" s="8">
        <f t="shared" si="16"/>
        <v>0.000002294600712</v>
      </c>
      <c r="H559" s="8">
        <f t="shared" si="11"/>
        <v>4197.05</v>
      </c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54">
        <f t="shared" si="12"/>
        <v>44341</v>
      </c>
      <c r="B560" s="8">
        <f t="shared" si="13"/>
        <v>281038124</v>
      </c>
      <c r="C560" s="8">
        <f t="shared" si="14"/>
        <v>-0.00007205479452</v>
      </c>
      <c r="D560" s="8">
        <v>4188.13</v>
      </c>
      <c r="E560" s="8">
        <f t="shared" si="17"/>
        <v>-0.002125302296</v>
      </c>
      <c r="F560" s="53">
        <v>0.104305727</v>
      </c>
      <c r="G560" s="8">
        <f t="shared" si="16"/>
        <v>0.000002857691151</v>
      </c>
      <c r="H560" s="8">
        <f t="shared" si="11"/>
        <v>4188.13</v>
      </c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54">
        <f t="shared" si="12"/>
        <v>44342</v>
      </c>
      <c r="B561" s="8">
        <f t="shared" si="13"/>
        <v>281017873.8</v>
      </c>
      <c r="C561" s="8">
        <f t="shared" si="14"/>
        <v>-0.00007205479452</v>
      </c>
      <c r="D561" s="8">
        <v>4195.99</v>
      </c>
      <c r="E561" s="8">
        <f t="shared" si="17"/>
        <v>0.001876732575</v>
      </c>
      <c r="F561" s="53">
        <v>0.088168854</v>
      </c>
      <c r="G561" s="8">
        <f t="shared" si="16"/>
        <v>0.000002415585041</v>
      </c>
      <c r="H561" s="8">
        <f t="shared" si="11"/>
        <v>4195.99</v>
      </c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54">
        <f t="shared" si="12"/>
        <v>44343</v>
      </c>
      <c r="B562" s="8">
        <f t="shared" si="13"/>
        <v>280997625.1</v>
      </c>
      <c r="C562" s="8">
        <f t="shared" si="14"/>
        <v>-0.00007205479452</v>
      </c>
      <c r="D562" s="8">
        <v>4200.88</v>
      </c>
      <c r="E562" s="8">
        <f t="shared" si="17"/>
        <v>0.001165398392</v>
      </c>
      <c r="F562" s="53">
        <v>0.090460899</v>
      </c>
      <c r="G562" s="8">
        <f t="shared" si="16"/>
        <v>0.000002478380795</v>
      </c>
      <c r="H562" s="8">
        <f t="shared" si="11"/>
        <v>4200.88</v>
      </c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54">
        <f t="shared" si="12"/>
        <v>44344</v>
      </c>
      <c r="B563" s="8">
        <f t="shared" si="13"/>
        <v>280977377.9</v>
      </c>
      <c r="C563" s="8">
        <f t="shared" si="14"/>
        <v>-0.00007205479452</v>
      </c>
      <c r="D563" s="8">
        <v>4204.11</v>
      </c>
      <c r="E563" s="8">
        <f t="shared" si="17"/>
        <v>0.000768886519</v>
      </c>
      <c r="F563" s="53">
        <v>0.095002786</v>
      </c>
      <c r="G563" s="8">
        <f t="shared" si="16"/>
        <v>0.000002602816055</v>
      </c>
      <c r="H563" s="8">
        <f t="shared" si="11"/>
        <v>4204.11</v>
      </c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54">
        <f t="shared" si="12"/>
        <v>44345</v>
      </c>
      <c r="B564" s="8">
        <f t="shared" si="13"/>
        <v>280957132.1</v>
      </c>
      <c r="C564" s="8">
        <f t="shared" si="14"/>
        <v>-0.00007205479452</v>
      </c>
      <c r="D564" s="8">
        <v>4204.11</v>
      </c>
      <c r="E564" s="8">
        <f t="shared" si="17"/>
        <v>0</v>
      </c>
      <c r="F564" s="53">
        <v>0.104302988</v>
      </c>
      <c r="G564" s="8">
        <f t="shared" si="16"/>
        <v>0.00000285761611</v>
      </c>
      <c r="H564" s="8">
        <f t="shared" si="11"/>
        <v>4204.11</v>
      </c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54">
        <f t="shared" si="12"/>
        <v>44346</v>
      </c>
      <c r="B565" s="8">
        <f t="shared" si="13"/>
        <v>280936887.8</v>
      </c>
      <c r="C565" s="8">
        <f t="shared" si="14"/>
        <v>-0.00007205479452</v>
      </c>
      <c r="D565" s="8">
        <v>4204.11</v>
      </c>
      <c r="E565" s="8">
        <f t="shared" si="17"/>
        <v>0</v>
      </c>
      <c r="F565" s="53">
        <v>0.107321896</v>
      </c>
      <c r="G565" s="8">
        <f t="shared" si="16"/>
        <v>0.000002940325918</v>
      </c>
      <c r="H565" s="8">
        <f t="shared" si="11"/>
        <v>4204.11</v>
      </c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54">
        <f t="shared" si="12"/>
        <v>44347</v>
      </c>
      <c r="B566" s="8">
        <f t="shared" si="13"/>
        <v>280916645</v>
      </c>
      <c r="C566" s="8">
        <f t="shared" si="14"/>
        <v>-0.00007205479452</v>
      </c>
      <c r="D566" s="8">
        <v>4204.11</v>
      </c>
      <c r="E566" s="8">
        <f t="shared" si="17"/>
        <v>0</v>
      </c>
      <c r="F566" s="53">
        <v>0.09394879</v>
      </c>
      <c r="G566" s="8">
        <f t="shared" si="16"/>
        <v>0.000002573939452</v>
      </c>
      <c r="H566" s="8">
        <f t="shared" si="11"/>
        <v>4204.11</v>
      </c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54">
        <f t="shared" si="12"/>
        <v>44348</v>
      </c>
      <c r="B567" s="8">
        <f t="shared" si="13"/>
        <v>280896403.6</v>
      </c>
      <c r="C567" s="8">
        <f t="shared" si="14"/>
        <v>-0.00007205479452</v>
      </c>
      <c r="D567" s="8">
        <v>4202.04</v>
      </c>
      <c r="E567" s="8">
        <f t="shared" si="17"/>
        <v>-0.0004923753184</v>
      </c>
      <c r="F567" s="53">
        <v>0.104145375</v>
      </c>
      <c r="G567" s="8">
        <f t="shared" si="16"/>
        <v>0.000002853297945</v>
      </c>
      <c r="H567" s="8">
        <f t="shared" si="11"/>
        <v>4202.04</v>
      </c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54">
        <f t="shared" si="12"/>
        <v>44349</v>
      </c>
      <c r="B568" s="8">
        <f t="shared" si="13"/>
        <v>280876163.7</v>
      </c>
      <c r="C568" s="8">
        <f t="shared" si="14"/>
        <v>-0.00007205479452</v>
      </c>
      <c r="D568" s="8">
        <v>4208.12</v>
      </c>
      <c r="E568" s="8">
        <f t="shared" si="17"/>
        <v>0.00144691626</v>
      </c>
      <c r="F568" s="53">
        <v>0.098341866</v>
      </c>
      <c r="G568" s="8">
        <f t="shared" si="16"/>
        <v>0.000002694297699</v>
      </c>
      <c r="H568" s="8">
        <f t="shared" si="11"/>
        <v>4208.12</v>
      </c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54">
        <f t="shared" si="12"/>
        <v>44350</v>
      </c>
      <c r="B569" s="8">
        <f t="shared" si="13"/>
        <v>280855925.2</v>
      </c>
      <c r="C569" s="8">
        <f t="shared" si="14"/>
        <v>-0.00007205479452</v>
      </c>
      <c r="D569" s="8">
        <v>4192.85</v>
      </c>
      <c r="E569" s="8">
        <f t="shared" si="17"/>
        <v>-0.003628698801</v>
      </c>
      <c r="F569" s="53">
        <v>0.079882211</v>
      </c>
      <c r="G569" s="8">
        <f t="shared" si="16"/>
        <v>0.000002188553726</v>
      </c>
      <c r="H569" s="8">
        <f t="shared" si="11"/>
        <v>4192.85</v>
      </c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54">
        <f t="shared" si="12"/>
        <v>44351</v>
      </c>
      <c r="B570" s="8">
        <f t="shared" si="13"/>
        <v>280835688.2</v>
      </c>
      <c r="C570" s="8">
        <f t="shared" si="14"/>
        <v>-0.00007205479452</v>
      </c>
      <c r="D570" s="8">
        <v>4229.89</v>
      </c>
      <c r="E570" s="8">
        <f t="shared" si="17"/>
        <v>0.0088340866</v>
      </c>
      <c r="F570" s="53">
        <v>0.111551582</v>
      </c>
      <c r="G570" s="8">
        <f t="shared" si="16"/>
        <v>0.000003056207726</v>
      </c>
      <c r="H570" s="8">
        <f t="shared" si="11"/>
        <v>4229.89</v>
      </c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54">
        <f t="shared" si="12"/>
        <v>44352</v>
      </c>
      <c r="B571" s="8">
        <f t="shared" si="13"/>
        <v>280815452.6</v>
      </c>
      <c r="C571" s="8">
        <f t="shared" si="14"/>
        <v>-0.00007205479452</v>
      </c>
      <c r="D571" s="8">
        <v>4229.89</v>
      </c>
      <c r="E571" s="8">
        <f t="shared" si="17"/>
        <v>0</v>
      </c>
      <c r="F571" s="53">
        <v>0.089547956</v>
      </c>
      <c r="G571" s="8">
        <f t="shared" si="16"/>
        <v>0.000002453368658</v>
      </c>
      <c r="H571" s="8">
        <f t="shared" si="11"/>
        <v>4229.89</v>
      </c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54">
        <f t="shared" si="12"/>
        <v>44353</v>
      </c>
      <c r="B572" s="8">
        <f t="shared" si="13"/>
        <v>280795218.5</v>
      </c>
      <c r="C572" s="8">
        <f t="shared" si="14"/>
        <v>-0.00007205479452</v>
      </c>
      <c r="D572" s="8">
        <v>4229.89</v>
      </c>
      <c r="E572" s="8">
        <f t="shared" si="17"/>
        <v>0</v>
      </c>
      <c r="F572" s="53">
        <v>0.105428727</v>
      </c>
      <c r="G572" s="8">
        <f t="shared" si="16"/>
        <v>0.000002888458274</v>
      </c>
      <c r="H572" s="8">
        <f t="shared" si="11"/>
        <v>4229.89</v>
      </c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54">
        <f t="shared" si="12"/>
        <v>44354</v>
      </c>
      <c r="B573" s="8">
        <f t="shared" si="13"/>
        <v>280774985.9</v>
      </c>
      <c r="C573" s="8">
        <f t="shared" si="14"/>
        <v>-0.00007205479452</v>
      </c>
      <c r="D573" s="8">
        <v>4226.52</v>
      </c>
      <c r="E573" s="8">
        <f t="shared" si="17"/>
        <v>-0.0007967110256</v>
      </c>
      <c r="F573" s="53">
        <v>0.103855631</v>
      </c>
      <c r="G573" s="8">
        <f t="shared" si="16"/>
        <v>0.000002845359753</v>
      </c>
      <c r="H573" s="8">
        <f t="shared" si="11"/>
        <v>4226.52</v>
      </c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54">
        <f t="shared" si="12"/>
        <v>44355</v>
      </c>
      <c r="B574" s="8">
        <f t="shared" si="13"/>
        <v>280754754.7</v>
      </c>
      <c r="C574" s="8">
        <f t="shared" si="14"/>
        <v>-0.00007205479452</v>
      </c>
      <c r="D574" s="8">
        <v>4227.26</v>
      </c>
      <c r="E574" s="8">
        <f t="shared" si="17"/>
        <v>0.0001750849399</v>
      </c>
      <c r="F574" s="53">
        <v>0.108194011</v>
      </c>
      <c r="G574" s="8">
        <f t="shared" si="16"/>
        <v>0.000002964219479</v>
      </c>
      <c r="H574" s="8">
        <f t="shared" si="11"/>
        <v>4227.26</v>
      </c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54">
        <f t="shared" si="12"/>
        <v>44356</v>
      </c>
      <c r="B575" s="8">
        <f t="shared" si="13"/>
        <v>280734525</v>
      </c>
      <c r="C575" s="8">
        <f t="shared" si="14"/>
        <v>-0.00007205479452</v>
      </c>
      <c r="D575" s="8">
        <v>4219.55</v>
      </c>
      <c r="E575" s="8">
        <f t="shared" si="17"/>
        <v>-0.001823876459</v>
      </c>
      <c r="F575" s="53">
        <v>0.099603499</v>
      </c>
      <c r="G575" s="8">
        <f t="shared" si="16"/>
        <v>0.000002728862986</v>
      </c>
      <c r="H575" s="8">
        <f t="shared" si="11"/>
        <v>4219.55</v>
      </c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54">
        <f t="shared" si="12"/>
        <v>44357</v>
      </c>
      <c r="B576" s="8">
        <f t="shared" si="13"/>
        <v>280714296.7</v>
      </c>
      <c r="C576" s="8">
        <f t="shared" si="14"/>
        <v>-0.00007205479452</v>
      </c>
      <c r="D576" s="8">
        <v>4239.18</v>
      </c>
      <c r="E576" s="8">
        <f t="shared" si="17"/>
        <v>0.004652154851</v>
      </c>
      <c r="F576" s="53">
        <v>0.108805565</v>
      </c>
      <c r="G576" s="8">
        <f t="shared" si="16"/>
        <v>0.000002980974384</v>
      </c>
      <c r="H576" s="8">
        <f t="shared" si="11"/>
        <v>4239.18</v>
      </c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54">
        <f t="shared" si="12"/>
        <v>44358</v>
      </c>
      <c r="B577" s="8">
        <f t="shared" si="13"/>
        <v>280694069.9</v>
      </c>
      <c r="C577" s="8">
        <f t="shared" si="14"/>
        <v>-0.00007205479452</v>
      </c>
      <c r="D577" s="8">
        <v>4247.44</v>
      </c>
      <c r="E577" s="8">
        <f t="shared" si="17"/>
        <v>0.001948490038</v>
      </c>
      <c r="F577" s="53">
        <v>0.095146364</v>
      </c>
      <c r="G577" s="8">
        <f t="shared" si="16"/>
        <v>0.000002606749699</v>
      </c>
      <c r="H577" s="8">
        <f t="shared" si="11"/>
        <v>4247.44</v>
      </c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54">
        <f t="shared" si="12"/>
        <v>44359</v>
      </c>
      <c r="B578" s="8">
        <f t="shared" si="13"/>
        <v>280673844.5</v>
      </c>
      <c r="C578" s="8">
        <f t="shared" si="14"/>
        <v>-0.00007205479452</v>
      </c>
      <c r="D578" s="8">
        <v>4247.44</v>
      </c>
      <c r="E578" s="8">
        <f t="shared" si="17"/>
        <v>0</v>
      </c>
      <c r="F578" s="53">
        <v>0.100237481</v>
      </c>
      <c r="G578" s="8">
        <f t="shared" si="16"/>
        <v>0.000002746232356</v>
      </c>
      <c r="H578" s="8">
        <f t="shared" si="11"/>
        <v>4247.44</v>
      </c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54">
        <f t="shared" si="12"/>
        <v>44360</v>
      </c>
      <c r="B579" s="8">
        <f t="shared" si="13"/>
        <v>280653620.6</v>
      </c>
      <c r="C579" s="8">
        <f t="shared" si="14"/>
        <v>-0.00007205479452</v>
      </c>
      <c r="D579" s="8">
        <v>4247.44</v>
      </c>
      <c r="E579" s="8">
        <f t="shared" si="17"/>
        <v>0</v>
      </c>
      <c r="F579" s="53">
        <v>0.116209247</v>
      </c>
      <c r="G579" s="8">
        <f t="shared" si="16"/>
        <v>0.000003183814986</v>
      </c>
      <c r="H579" s="8">
        <f t="shared" si="11"/>
        <v>4247.44</v>
      </c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54">
        <f t="shared" si="12"/>
        <v>44361</v>
      </c>
      <c r="B580" s="8">
        <f t="shared" si="13"/>
        <v>280633398.2</v>
      </c>
      <c r="C580" s="8">
        <f t="shared" si="14"/>
        <v>-0.00007205479452</v>
      </c>
      <c r="D580" s="8">
        <v>4255.15</v>
      </c>
      <c r="E580" s="8">
        <f t="shared" si="17"/>
        <v>0.001815211045</v>
      </c>
      <c r="F580" s="53">
        <v>0.106458602</v>
      </c>
      <c r="G580" s="8">
        <f t="shared" si="16"/>
        <v>0.000002916674027</v>
      </c>
      <c r="H580" s="8">
        <f t="shared" si="11"/>
        <v>4255.15</v>
      </c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54">
        <f t="shared" si="12"/>
        <v>44362</v>
      </c>
      <c r="B581" s="8">
        <f t="shared" si="13"/>
        <v>280613177.2</v>
      </c>
      <c r="C581" s="8">
        <f t="shared" si="14"/>
        <v>-0.00007205479452</v>
      </c>
      <c r="D581" s="8">
        <v>4246.59</v>
      </c>
      <c r="E581" s="8">
        <f t="shared" si="17"/>
        <v>-0.002011679964</v>
      </c>
      <c r="F581" s="53">
        <v>0.108903214</v>
      </c>
      <c r="G581" s="8">
        <f t="shared" si="16"/>
        <v>0.000002983649699</v>
      </c>
      <c r="H581" s="8">
        <f t="shared" si="11"/>
        <v>4246.59</v>
      </c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54">
        <f t="shared" si="12"/>
        <v>44363</v>
      </c>
      <c r="B582" s="8">
        <f t="shared" si="13"/>
        <v>280592957.7</v>
      </c>
      <c r="C582" s="8">
        <f t="shared" si="14"/>
        <v>-0.00007205479452</v>
      </c>
      <c r="D582" s="8">
        <v>4223.7</v>
      </c>
      <c r="E582" s="8">
        <f t="shared" si="17"/>
        <v>-0.005390207202</v>
      </c>
      <c r="F582" s="53">
        <v>0.101354668</v>
      </c>
      <c r="G582" s="8">
        <f t="shared" si="16"/>
        <v>0.000002776840219</v>
      </c>
      <c r="H582" s="8">
        <f t="shared" si="11"/>
        <v>4223.7</v>
      </c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54">
        <f t="shared" si="12"/>
        <v>44364</v>
      </c>
      <c r="B583" s="8">
        <f t="shared" si="13"/>
        <v>280572739.6</v>
      </c>
      <c r="C583" s="8">
        <f t="shared" si="14"/>
        <v>-0.00007205479452</v>
      </c>
      <c r="D583" s="8">
        <v>4221.86</v>
      </c>
      <c r="E583" s="8">
        <f t="shared" si="17"/>
        <v>-0.0004356370007</v>
      </c>
      <c r="F583" s="53">
        <v>0.117949134</v>
      </c>
      <c r="G583" s="8">
        <f t="shared" si="16"/>
        <v>0.000003231483123</v>
      </c>
      <c r="H583" s="8">
        <f t="shared" si="11"/>
        <v>4221.86</v>
      </c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54">
        <f t="shared" si="12"/>
        <v>44365</v>
      </c>
      <c r="B584" s="8">
        <f t="shared" si="13"/>
        <v>280552523</v>
      </c>
      <c r="C584" s="8">
        <f t="shared" si="14"/>
        <v>-0.00007205479452</v>
      </c>
      <c r="D584" s="8">
        <v>4166.45</v>
      </c>
      <c r="E584" s="8">
        <f t="shared" si="17"/>
        <v>-0.013124547</v>
      </c>
      <c r="F584" s="53">
        <v>0.103377955</v>
      </c>
      <c r="G584" s="8">
        <f t="shared" si="16"/>
        <v>0.00000283227274</v>
      </c>
      <c r="H584" s="8">
        <f t="shared" si="11"/>
        <v>4166.45</v>
      </c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54">
        <f t="shared" si="12"/>
        <v>44366</v>
      </c>
      <c r="B585" s="8">
        <f t="shared" si="13"/>
        <v>280532307.8</v>
      </c>
      <c r="C585" s="8">
        <f t="shared" si="14"/>
        <v>-0.00007205479452</v>
      </c>
      <c r="D585" s="8">
        <v>4166.45</v>
      </c>
      <c r="E585" s="8">
        <f t="shared" si="17"/>
        <v>0</v>
      </c>
      <c r="F585" s="53">
        <v>0.105433654</v>
      </c>
      <c r="G585" s="8">
        <f t="shared" si="16"/>
        <v>0.00000288859326</v>
      </c>
      <c r="H585" s="8">
        <f t="shared" si="11"/>
        <v>4166.45</v>
      </c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54">
        <f t="shared" si="12"/>
        <v>44367</v>
      </c>
      <c r="B586" s="8">
        <f t="shared" si="13"/>
        <v>280512094.1</v>
      </c>
      <c r="C586" s="8">
        <f t="shared" si="14"/>
        <v>-0.00007205479452</v>
      </c>
      <c r="D586" s="8">
        <v>4166.45</v>
      </c>
      <c r="E586" s="8">
        <f t="shared" si="17"/>
        <v>0</v>
      </c>
      <c r="F586" s="53">
        <v>0.112803582</v>
      </c>
      <c r="G586" s="8">
        <f t="shared" si="16"/>
        <v>0.000003090509096</v>
      </c>
      <c r="H586" s="8">
        <f t="shared" si="11"/>
        <v>4166.45</v>
      </c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54">
        <f t="shared" si="12"/>
        <v>44368</v>
      </c>
      <c r="B587" s="8">
        <f t="shared" si="13"/>
        <v>280491881.9</v>
      </c>
      <c r="C587" s="8">
        <f t="shared" si="14"/>
        <v>-0.00007205479452</v>
      </c>
      <c r="D587" s="8">
        <v>4224.79</v>
      </c>
      <c r="E587" s="8">
        <f t="shared" si="17"/>
        <v>0.01400232812</v>
      </c>
      <c r="F587" s="53">
        <v>0.113190785</v>
      </c>
      <c r="G587" s="8">
        <f t="shared" si="16"/>
        <v>0.000003101117397</v>
      </c>
      <c r="H587" s="8">
        <f t="shared" si="11"/>
        <v>4224.79</v>
      </c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54">
        <f t="shared" si="12"/>
        <v>44369</v>
      </c>
      <c r="B588" s="8">
        <f t="shared" si="13"/>
        <v>280471671.1</v>
      </c>
      <c r="C588" s="8">
        <f t="shared" si="14"/>
        <v>-0.00007205479452</v>
      </c>
      <c r="D588" s="8">
        <v>4246.44</v>
      </c>
      <c r="E588" s="8">
        <f t="shared" si="17"/>
        <v>0.005124515065</v>
      </c>
      <c r="F588" s="53">
        <v>0.098035409</v>
      </c>
      <c r="G588" s="8">
        <f t="shared" si="16"/>
        <v>0.000002685901616</v>
      </c>
      <c r="H588" s="8">
        <f t="shared" si="11"/>
        <v>4246.44</v>
      </c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54">
        <f t="shared" si="12"/>
        <v>44370</v>
      </c>
      <c r="B589" s="8">
        <f t="shared" si="13"/>
        <v>280451461.8</v>
      </c>
      <c r="C589" s="8">
        <f t="shared" si="14"/>
        <v>-0.00007205479452</v>
      </c>
      <c r="D589" s="8">
        <v>4241.84</v>
      </c>
      <c r="E589" s="8">
        <f t="shared" si="17"/>
        <v>-0.001083260331</v>
      </c>
      <c r="F589" s="53">
        <v>0.100940041</v>
      </c>
      <c r="G589" s="8">
        <f t="shared" si="16"/>
        <v>0.000002765480575</v>
      </c>
      <c r="H589" s="8">
        <f t="shared" si="11"/>
        <v>4241.84</v>
      </c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54">
        <f t="shared" si="12"/>
        <v>44371</v>
      </c>
      <c r="B590" s="8">
        <f t="shared" si="13"/>
        <v>280431253.9</v>
      </c>
      <c r="C590" s="8">
        <f t="shared" si="14"/>
        <v>-0.00007205479452</v>
      </c>
      <c r="D590" s="8">
        <v>4266.49</v>
      </c>
      <c r="E590" s="8">
        <f t="shared" si="17"/>
        <v>0.005811157422</v>
      </c>
      <c r="F590" s="53">
        <v>0.080213064</v>
      </c>
      <c r="G590" s="8">
        <f t="shared" si="16"/>
        <v>0.000002197618192</v>
      </c>
      <c r="H590" s="8">
        <f t="shared" si="11"/>
        <v>4266.49</v>
      </c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54">
        <f t="shared" si="12"/>
        <v>44372</v>
      </c>
      <c r="B591" s="8">
        <f t="shared" si="13"/>
        <v>280411047.5</v>
      </c>
      <c r="C591" s="8">
        <f t="shared" si="14"/>
        <v>-0.00007205479452</v>
      </c>
      <c r="D591" s="8">
        <v>4280.7</v>
      </c>
      <c r="E591" s="8">
        <f t="shared" si="17"/>
        <v>0.003330606658</v>
      </c>
      <c r="F591" s="53">
        <v>0.084533138</v>
      </c>
      <c r="G591" s="8">
        <f t="shared" si="16"/>
        <v>0.000002315976384</v>
      </c>
      <c r="H591" s="8">
        <f t="shared" si="11"/>
        <v>4280.7</v>
      </c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54">
        <f t="shared" si="12"/>
        <v>44373</v>
      </c>
      <c r="B592" s="8">
        <f t="shared" si="13"/>
        <v>280390842.5</v>
      </c>
      <c r="C592" s="8">
        <f t="shared" si="14"/>
        <v>-0.00007205479452</v>
      </c>
      <c r="D592" s="8">
        <v>4280.7</v>
      </c>
      <c r="E592" s="8">
        <f t="shared" si="17"/>
        <v>0</v>
      </c>
      <c r="F592" s="53">
        <v>0.093562283</v>
      </c>
      <c r="G592" s="8">
        <f t="shared" si="16"/>
        <v>0.000002563350219</v>
      </c>
      <c r="H592" s="8">
        <f t="shared" si="11"/>
        <v>4280.7</v>
      </c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54">
        <f t="shared" si="12"/>
        <v>44374</v>
      </c>
      <c r="B593" s="8">
        <f t="shared" si="13"/>
        <v>280370639</v>
      </c>
      <c r="C593" s="8">
        <f t="shared" si="14"/>
        <v>-0.00007205479452</v>
      </c>
      <c r="D593" s="8">
        <v>4280.7</v>
      </c>
      <c r="E593" s="8">
        <f t="shared" si="17"/>
        <v>0</v>
      </c>
      <c r="F593" s="53">
        <v>0.104904709</v>
      </c>
      <c r="G593" s="8">
        <f t="shared" si="16"/>
        <v>0.000002874101616</v>
      </c>
      <c r="H593" s="8">
        <f t="shared" si="11"/>
        <v>4280.7</v>
      </c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54">
        <f t="shared" si="12"/>
        <v>44375</v>
      </c>
      <c r="B594" s="8">
        <f t="shared" si="13"/>
        <v>280350437</v>
      </c>
      <c r="C594" s="8">
        <f t="shared" si="14"/>
        <v>-0.00007205479452</v>
      </c>
      <c r="D594" s="8">
        <v>4290.61</v>
      </c>
      <c r="E594" s="8">
        <f t="shared" si="17"/>
        <v>0.002315041932</v>
      </c>
      <c r="F594" s="53">
        <v>0.097709376</v>
      </c>
      <c r="G594" s="8">
        <f t="shared" si="16"/>
        <v>0.000002676969205</v>
      </c>
      <c r="H594" s="8">
        <f t="shared" si="11"/>
        <v>4290.61</v>
      </c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54">
        <f t="shared" si="12"/>
        <v>44376</v>
      </c>
      <c r="B595" s="8">
        <f t="shared" si="13"/>
        <v>280330236.4</v>
      </c>
      <c r="C595" s="8">
        <f t="shared" si="14"/>
        <v>-0.00007205479452</v>
      </c>
      <c r="D595" s="8">
        <v>4291.8</v>
      </c>
      <c r="E595" s="8">
        <f t="shared" si="17"/>
        <v>0.0002773498407</v>
      </c>
      <c r="F595" s="53">
        <v>0.085651052</v>
      </c>
      <c r="G595" s="8">
        <f t="shared" si="16"/>
        <v>0.000002346604164</v>
      </c>
      <c r="H595" s="8">
        <f t="shared" si="11"/>
        <v>4291.8</v>
      </c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54">
        <f t="shared" si="12"/>
        <v>44377</v>
      </c>
      <c r="B596" s="8">
        <f t="shared" si="13"/>
        <v>280310037.3</v>
      </c>
      <c r="C596" s="8">
        <f t="shared" si="14"/>
        <v>-0.00007205479452</v>
      </c>
      <c r="D596" s="8">
        <v>4297.5</v>
      </c>
      <c r="E596" s="8">
        <f t="shared" si="17"/>
        <v>0.001328114078</v>
      </c>
      <c r="F596" s="53">
        <v>0.09423773</v>
      </c>
      <c r="G596" s="8">
        <f t="shared" si="16"/>
        <v>0.000002581855616</v>
      </c>
      <c r="H596" s="8">
        <f t="shared" si="11"/>
        <v>4297.5</v>
      </c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54">
        <f t="shared" si="12"/>
        <v>44378</v>
      </c>
      <c r="B597" s="8">
        <f t="shared" si="13"/>
        <v>280289839.6</v>
      </c>
      <c r="C597" s="8">
        <f t="shared" si="14"/>
        <v>-0.00007205479452</v>
      </c>
      <c r="D597" s="8">
        <v>4319.94</v>
      </c>
      <c r="E597" s="8">
        <f t="shared" si="17"/>
        <v>0.005221640489</v>
      </c>
      <c r="F597" s="53">
        <v>0.096241679</v>
      </c>
      <c r="G597" s="8">
        <f t="shared" si="16"/>
        <v>0.000002636758329</v>
      </c>
      <c r="H597" s="8">
        <f t="shared" si="11"/>
        <v>4319.94</v>
      </c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54">
        <f t="shared" si="12"/>
        <v>44379</v>
      </c>
      <c r="B598" s="8">
        <f t="shared" si="13"/>
        <v>280269643.3</v>
      </c>
      <c r="C598" s="8">
        <f t="shared" si="14"/>
        <v>-0.00007205479452</v>
      </c>
      <c r="D598" s="8">
        <v>4352.34</v>
      </c>
      <c r="E598" s="8">
        <f t="shared" si="17"/>
        <v>0.007500104168</v>
      </c>
      <c r="F598" s="53">
        <v>0.107308009</v>
      </c>
      <c r="G598" s="8">
        <f t="shared" si="16"/>
        <v>0.000002939945452</v>
      </c>
      <c r="H598" s="8">
        <f t="shared" si="11"/>
        <v>4352.34</v>
      </c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54">
        <f t="shared" si="12"/>
        <v>44380</v>
      </c>
      <c r="B599" s="8">
        <f t="shared" si="13"/>
        <v>280249448.6</v>
      </c>
      <c r="C599" s="8">
        <f t="shared" si="14"/>
        <v>-0.00007205479452</v>
      </c>
      <c r="D599" s="8">
        <v>4352.34</v>
      </c>
      <c r="E599" s="8">
        <f t="shared" si="17"/>
        <v>0</v>
      </c>
      <c r="F599" s="53">
        <v>0.123898299</v>
      </c>
      <c r="G599" s="8">
        <f t="shared" si="16"/>
        <v>0.000003394473945</v>
      </c>
      <c r="H599" s="8">
        <f t="shared" si="11"/>
        <v>4352.34</v>
      </c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54">
        <f t="shared" si="12"/>
        <v>44381</v>
      </c>
      <c r="B600" s="8">
        <f t="shared" si="13"/>
        <v>280229255.3</v>
      </c>
      <c r="C600" s="8">
        <f t="shared" si="14"/>
        <v>-0.00007205479452</v>
      </c>
      <c r="D600" s="8">
        <v>4352.34</v>
      </c>
      <c r="E600" s="8">
        <f t="shared" si="17"/>
        <v>0</v>
      </c>
      <c r="F600" s="53">
        <v>0.104001496</v>
      </c>
      <c r="G600" s="8">
        <f t="shared" si="16"/>
        <v>0.000002849356055</v>
      </c>
      <c r="H600" s="8">
        <f t="shared" si="11"/>
        <v>4352.34</v>
      </c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54">
        <f t="shared" si="12"/>
        <v>44382</v>
      </c>
      <c r="B601" s="8">
        <f t="shared" si="13"/>
        <v>280209063.4</v>
      </c>
      <c r="C601" s="8">
        <f t="shared" si="14"/>
        <v>-0.00007205479452</v>
      </c>
      <c r="D601" s="8">
        <v>4352.34</v>
      </c>
      <c r="E601" s="8">
        <f t="shared" si="17"/>
        <v>0</v>
      </c>
      <c r="F601" s="53">
        <v>0.098647724</v>
      </c>
      <c r="G601" s="8">
        <f t="shared" si="16"/>
        <v>0.00000270267737</v>
      </c>
      <c r="H601" s="8">
        <f t="shared" si="11"/>
        <v>4352.34</v>
      </c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54">
        <f t="shared" si="12"/>
        <v>44383</v>
      </c>
      <c r="B602" s="8">
        <f t="shared" si="13"/>
        <v>280188873</v>
      </c>
      <c r="C602" s="8">
        <f t="shared" si="14"/>
        <v>-0.00007205479452</v>
      </c>
      <c r="D602" s="8">
        <v>4343.54</v>
      </c>
      <c r="E602" s="8">
        <f t="shared" si="17"/>
        <v>-0.002021900863</v>
      </c>
      <c r="F602" s="53">
        <v>0.102494745</v>
      </c>
      <c r="G602" s="8">
        <f t="shared" si="16"/>
        <v>0.000002808075205</v>
      </c>
      <c r="H602" s="8">
        <f t="shared" si="11"/>
        <v>4343.54</v>
      </c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54">
        <f t="shared" si="12"/>
        <v>44384</v>
      </c>
      <c r="B603" s="8">
        <f t="shared" si="13"/>
        <v>280168684</v>
      </c>
      <c r="C603" s="8">
        <f t="shared" si="14"/>
        <v>-0.00007205479452</v>
      </c>
      <c r="D603" s="8">
        <v>4358.13</v>
      </c>
      <c r="E603" s="8">
        <f t="shared" si="17"/>
        <v>0.003359011313</v>
      </c>
      <c r="F603" s="53">
        <v>0.102521111</v>
      </c>
      <c r="G603" s="8">
        <f t="shared" si="16"/>
        <v>0.000002808797562</v>
      </c>
      <c r="H603" s="8">
        <f t="shared" si="11"/>
        <v>4358.13</v>
      </c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54">
        <f t="shared" si="12"/>
        <v>44385</v>
      </c>
      <c r="B604" s="8">
        <f t="shared" si="13"/>
        <v>280148496.5</v>
      </c>
      <c r="C604" s="8">
        <f t="shared" si="14"/>
        <v>-0.00007205479452</v>
      </c>
      <c r="D604" s="8">
        <v>4320.82</v>
      </c>
      <c r="E604" s="8">
        <f t="shared" si="17"/>
        <v>-0.008561011259</v>
      </c>
      <c r="F604" s="53">
        <v>0.100457968</v>
      </c>
      <c r="G604" s="8">
        <f t="shared" si="16"/>
        <v>0.000002752273096</v>
      </c>
      <c r="H604" s="8">
        <f t="shared" si="11"/>
        <v>4320.82</v>
      </c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54">
        <f t="shared" si="12"/>
        <v>44386</v>
      </c>
      <c r="B605" s="8">
        <f t="shared" si="13"/>
        <v>280128310.5</v>
      </c>
      <c r="C605" s="8">
        <f t="shared" si="14"/>
        <v>-0.00007205479452</v>
      </c>
      <c r="D605" s="8">
        <v>4369.55</v>
      </c>
      <c r="E605" s="8">
        <f t="shared" si="17"/>
        <v>0.01127795187</v>
      </c>
      <c r="F605" s="53">
        <v>0.101960026</v>
      </c>
      <c r="G605" s="8">
        <f t="shared" si="16"/>
        <v>0.00000279342537</v>
      </c>
      <c r="H605" s="8">
        <f t="shared" si="11"/>
        <v>4369.55</v>
      </c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54">
        <f t="shared" si="12"/>
        <v>44387</v>
      </c>
      <c r="B606" s="8">
        <f t="shared" si="13"/>
        <v>280108125.9</v>
      </c>
      <c r="C606" s="8">
        <f t="shared" si="14"/>
        <v>-0.00007205479452</v>
      </c>
      <c r="D606" s="8">
        <v>4369.55</v>
      </c>
      <c r="E606" s="8">
        <f t="shared" si="17"/>
        <v>0</v>
      </c>
      <c r="F606" s="53">
        <v>0.100153433</v>
      </c>
      <c r="G606" s="8">
        <f t="shared" si="16"/>
        <v>0.000002743929671</v>
      </c>
      <c r="H606" s="8">
        <f t="shared" si="11"/>
        <v>4369.55</v>
      </c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54">
        <f t="shared" si="12"/>
        <v>44388</v>
      </c>
      <c r="B607" s="8">
        <f t="shared" si="13"/>
        <v>280087942.8</v>
      </c>
      <c r="C607" s="8">
        <f t="shared" si="14"/>
        <v>-0.00007205479452</v>
      </c>
      <c r="D607" s="8">
        <v>4369.55</v>
      </c>
      <c r="E607" s="8">
        <f t="shared" si="17"/>
        <v>0</v>
      </c>
      <c r="F607" s="53">
        <v>0.08411388</v>
      </c>
      <c r="G607" s="8">
        <f t="shared" si="16"/>
        <v>0.000002304489863</v>
      </c>
      <c r="H607" s="8">
        <f t="shared" si="11"/>
        <v>4369.55</v>
      </c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54">
        <f t="shared" si="12"/>
        <v>44389</v>
      </c>
      <c r="B608" s="8">
        <f t="shared" si="13"/>
        <v>280067761.1</v>
      </c>
      <c r="C608" s="8">
        <f t="shared" si="14"/>
        <v>-0.00007205479452</v>
      </c>
      <c r="D608" s="8">
        <v>4384.63</v>
      </c>
      <c r="E608" s="8">
        <f t="shared" si="17"/>
        <v>0.003451156298</v>
      </c>
      <c r="F608" s="53">
        <v>0.10586074</v>
      </c>
      <c r="G608" s="8">
        <f t="shared" si="16"/>
        <v>0.000002900294247</v>
      </c>
      <c r="H608" s="8">
        <f t="shared" si="11"/>
        <v>4384.63</v>
      </c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54">
        <f t="shared" si="12"/>
        <v>44390</v>
      </c>
      <c r="B609" s="8">
        <f t="shared" si="13"/>
        <v>280047580.9</v>
      </c>
      <c r="C609" s="8">
        <f t="shared" si="14"/>
        <v>-0.00007205479452</v>
      </c>
      <c r="D609" s="8">
        <v>4369.21</v>
      </c>
      <c r="E609" s="8">
        <f t="shared" si="17"/>
        <v>-0.003516830382</v>
      </c>
      <c r="F609" s="53">
        <v>0.100080891</v>
      </c>
      <c r="G609" s="8">
        <f t="shared" si="16"/>
        <v>0.000002741942219</v>
      </c>
      <c r="H609" s="8">
        <f t="shared" si="11"/>
        <v>4369.21</v>
      </c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54">
        <f t="shared" si="12"/>
        <v>44391</v>
      </c>
      <c r="B610" s="8">
        <f t="shared" si="13"/>
        <v>280027402.1</v>
      </c>
      <c r="C610" s="8">
        <f t="shared" si="14"/>
        <v>-0.00007205479452</v>
      </c>
      <c r="D610" s="8">
        <v>4374.3</v>
      </c>
      <c r="E610" s="8">
        <f t="shared" si="17"/>
        <v>0.001164970326</v>
      </c>
      <c r="F610" s="53">
        <v>0.093188354</v>
      </c>
      <c r="G610" s="8">
        <f t="shared" si="16"/>
        <v>0.000002553105589</v>
      </c>
      <c r="H610" s="8">
        <f t="shared" si="11"/>
        <v>4374.3</v>
      </c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54">
        <f t="shared" si="12"/>
        <v>44392</v>
      </c>
      <c r="B611" s="8">
        <f t="shared" si="13"/>
        <v>280007224.8</v>
      </c>
      <c r="C611" s="8">
        <f t="shared" si="14"/>
        <v>-0.00007205479452</v>
      </c>
      <c r="D611" s="8">
        <v>4360.03</v>
      </c>
      <c r="E611" s="8">
        <f t="shared" si="17"/>
        <v>-0.003262236244</v>
      </c>
      <c r="F611" s="53">
        <v>0.105975907</v>
      </c>
      <c r="G611" s="8">
        <f t="shared" si="16"/>
        <v>0.000002903449507</v>
      </c>
      <c r="H611" s="8">
        <f t="shared" si="11"/>
        <v>4360.03</v>
      </c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54">
        <f t="shared" si="12"/>
        <v>44393</v>
      </c>
      <c r="B612" s="8">
        <f t="shared" si="13"/>
        <v>279987048.9</v>
      </c>
      <c r="C612" s="8">
        <f t="shared" si="14"/>
        <v>-0.00007205479452</v>
      </c>
      <c r="D612" s="8">
        <v>4327.16</v>
      </c>
      <c r="E612" s="8">
        <f t="shared" si="17"/>
        <v>-0.007538938952</v>
      </c>
      <c r="F612" s="53">
        <v>0.089739633</v>
      </c>
      <c r="G612" s="8">
        <f t="shared" si="16"/>
        <v>0.000002458620082</v>
      </c>
      <c r="H612" s="8">
        <f t="shared" si="11"/>
        <v>4327.16</v>
      </c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54">
        <f t="shared" si="12"/>
        <v>44394</v>
      </c>
      <c r="B613" s="8">
        <f t="shared" si="13"/>
        <v>279966874.5</v>
      </c>
      <c r="C613" s="8">
        <f t="shared" si="14"/>
        <v>-0.00007205479452</v>
      </c>
      <c r="D613" s="8">
        <v>4327.16</v>
      </c>
      <c r="E613" s="8">
        <f t="shared" si="17"/>
        <v>0</v>
      </c>
      <c r="F613" s="53">
        <v>0.119298666</v>
      </c>
      <c r="G613" s="8">
        <f t="shared" si="16"/>
        <v>0.000003268456603</v>
      </c>
      <c r="H613" s="8">
        <f t="shared" si="11"/>
        <v>4327.16</v>
      </c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54">
        <f t="shared" si="12"/>
        <v>44395</v>
      </c>
      <c r="B614" s="8">
        <f t="shared" si="13"/>
        <v>279946701.6</v>
      </c>
      <c r="C614" s="8">
        <f t="shared" si="14"/>
        <v>-0.00007205479452</v>
      </c>
      <c r="D614" s="8">
        <v>4327.16</v>
      </c>
      <c r="E614" s="8">
        <f t="shared" si="17"/>
        <v>0</v>
      </c>
      <c r="F614" s="53">
        <v>0.085256052</v>
      </c>
      <c r="G614" s="8">
        <f t="shared" si="16"/>
        <v>0.000002335782247</v>
      </c>
      <c r="H614" s="8">
        <f t="shared" si="11"/>
        <v>4327.16</v>
      </c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54">
        <f t="shared" si="12"/>
        <v>44396</v>
      </c>
      <c r="B615" s="8">
        <f t="shared" si="13"/>
        <v>279926530.1</v>
      </c>
      <c r="C615" s="8">
        <f t="shared" si="14"/>
        <v>-0.00007205479452</v>
      </c>
      <c r="D615" s="8">
        <v>4258.49</v>
      </c>
      <c r="E615" s="8">
        <f t="shared" si="17"/>
        <v>-0.01586953106</v>
      </c>
      <c r="F615" s="53">
        <v>0.088901323</v>
      </c>
      <c r="G615" s="8">
        <f t="shared" si="16"/>
        <v>0.000002435652685</v>
      </c>
      <c r="H615" s="8">
        <f t="shared" si="11"/>
        <v>4258.49</v>
      </c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54">
        <f t="shared" si="12"/>
        <v>44397</v>
      </c>
      <c r="B616" s="8">
        <f t="shared" si="13"/>
        <v>279906360</v>
      </c>
      <c r="C616" s="8">
        <f t="shared" si="14"/>
        <v>-0.00007205479452</v>
      </c>
      <c r="D616" s="8">
        <v>4323.06</v>
      </c>
      <c r="E616" s="8">
        <f t="shared" si="17"/>
        <v>0.01516265155</v>
      </c>
      <c r="F616" s="53">
        <v>0.089406415</v>
      </c>
      <c r="G616" s="8">
        <f t="shared" si="16"/>
        <v>0.000002449490822</v>
      </c>
      <c r="H616" s="8">
        <f t="shared" si="11"/>
        <v>4323.06</v>
      </c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54">
        <f t="shared" si="12"/>
        <v>44398</v>
      </c>
      <c r="B617" s="8">
        <f t="shared" si="13"/>
        <v>279886191.4</v>
      </c>
      <c r="C617" s="8">
        <f t="shared" si="14"/>
        <v>-0.00007205479452</v>
      </c>
      <c r="D617" s="8">
        <v>4358.69</v>
      </c>
      <c r="E617" s="8">
        <f t="shared" si="17"/>
        <v>0.00824184721</v>
      </c>
      <c r="F617" s="53">
        <v>0.08933284</v>
      </c>
      <c r="G617" s="8">
        <f t="shared" si="16"/>
        <v>0.000002447475068</v>
      </c>
      <c r="H617" s="8">
        <f t="shared" si="11"/>
        <v>4358.69</v>
      </c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54">
        <f t="shared" si="12"/>
        <v>44399</v>
      </c>
      <c r="B618" s="8">
        <f t="shared" si="13"/>
        <v>279866024.3</v>
      </c>
      <c r="C618" s="8">
        <f t="shared" si="14"/>
        <v>-0.00007205479452</v>
      </c>
      <c r="D618" s="8">
        <v>4367.48</v>
      </c>
      <c r="E618" s="8">
        <f t="shared" si="17"/>
        <v>0.002016660969</v>
      </c>
      <c r="F618" s="53">
        <v>0.106996223</v>
      </c>
      <c r="G618" s="8">
        <f t="shared" si="16"/>
        <v>0.00000293140337</v>
      </c>
      <c r="H618" s="8">
        <f t="shared" si="11"/>
        <v>4367.48</v>
      </c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54">
        <f t="shared" si="12"/>
        <v>44400</v>
      </c>
      <c r="B619" s="8">
        <f t="shared" si="13"/>
        <v>279845858.6</v>
      </c>
      <c r="C619" s="8">
        <f t="shared" si="14"/>
        <v>-0.00007205479452</v>
      </c>
      <c r="D619" s="8">
        <v>4411.79</v>
      </c>
      <c r="E619" s="8">
        <f t="shared" si="17"/>
        <v>0.01014543856</v>
      </c>
      <c r="F619" s="53">
        <v>0.083983569</v>
      </c>
      <c r="G619" s="8">
        <f t="shared" si="16"/>
        <v>0.000002300919699</v>
      </c>
      <c r="H619" s="8">
        <f t="shared" si="11"/>
        <v>4411.79</v>
      </c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54">
        <f t="shared" si="12"/>
        <v>44401</v>
      </c>
      <c r="B620" s="8">
        <f t="shared" si="13"/>
        <v>279825694.3</v>
      </c>
      <c r="C620" s="8">
        <f t="shared" si="14"/>
        <v>-0.00007205479452</v>
      </c>
      <c r="D620" s="8">
        <v>4411.79</v>
      </c>
      <c r="E620" s="8">
        <f t="shared" si="17"/>
        <v>0</v>
      </c>
      <c r="F620" s="53">
        <v>0.110354728</v>
      </c>
      <c r="G620" s="8">
        <f t="shared" si="16"/>
        <v>0.000003023417205</v>
      </c>
      <c r="H620" s="8">
        <f t="shared" si="11"/>
        <v>4411.79</v>
      </c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54">
        <f t="shared" si="12"/>
        <v>44402</v>
      </c>
      <c r="B621" s="8">
        <f t="shared" si="13"/>
        <v>279805531.6</v>
      </c>
      <c r="C621" s="8">
        <f t="shared" si="14"/>
        <v>-0.00007205479452</v>
      </c>
      <c r="D621" s="8">
        <v>4411.79</v>
      </c>
      <c r="E621" s="8">
        <f t="shared" si="17"/>
        <v>0</v>
      </c>
      <c r="F621" s="53">
        <v>0.088498367</v>
      </c>
      <c r="G621" s="8">
        <f t="shared" si="16"/>
        <v>0.000002424612795</v>
      </c>
      <c r="H621" s="8">
        <f t="shared" si="11"/>
        <v>4411.79</v>
      </c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54">
        <f t="shared" si="12"/>
        <v>44403</v>
      </c>
      <c r="B622" s="8">
        <f t="shared" si="13"/>
        <v>279785370.2</v>
      </c>
      <c r="C622" s="8">
        <f t="shared" si="14"/>
        <v>-0.00007205479452</v>
      </c>
      <c r="D622" s="8">
        <v>4422.3</v>
      </c>
      <c r="E622" s="8">
        <f t="shared" si="17"/>
        <v>0.002382253008</v>
      </c>
      <c r="F622" s="53">
        <v>0.098766849</v>
      </c>
      <c r="G622" s="8">
        <f t="shared" si="16"/>
        <v>0.000002705941068</v>
      </c>
      <c r="H622" s="8">
        <f t="shared" si="11"/>
        <v>4422.3</v>
      </c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54">
        <f t="shared" si="12"/>
        <v>44404</v>
      </c>
      <c r="B623" s="8">
        <f t="shared" si="13"/>
        <v>279765210.4</v>
      </c>
      <c r="C623" s="8">
        <f t="shared" si="14"/>
        <v>-0.00007205479452</v>
      </c>
      <c r="D623" s="8">
        <v>4401.46</v>
      </c>
      <c r="E623" s="8">
        <f t="shared" si="17"/>
        <v>-0.004712479931</v>
      </c>
      <c r="F623" s="53">
        <v>0.086972158</v>
      </c>
      <c r="G623" s="8">
        <f t="shared" si="16"/>
        <v>0.000002382798849</v>
      </c>
      <c r="H623" s="8">
        <f t="shared" si="11"/>
        <v>4401.46</v>
      </c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54">
        <f t="shared" si="12"/>
        <v>44405</v>
      </c>
      <c r="B624" s="8">
        <f t="shared" si="13"/>
        <v>279745051.9</v>
      </c>
      <c r="C624" s="8">
        <f t="shared" si="14"/>
        <v>-0.00007205479452</v>
      </c>
      <c r="D624" s="8">
        <v>4400.64</v>
      </c>
      <c r="E624" s="8">
        <f t="shared" si="17"/>
        <v>-0.000186301818</v>
      </c>
      <c r="F624" s="53">
        <v>0.082660869</v>
      </c>
      <c r="G624" s="8">
        <f t="shared" si="16"/>
        <v>0.000002264681342</v>
      </c>
      <c r="H624" s="8">
        <f t="shared" si="11"/>
        <v>4400.64</v>
      </c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54">
        <f t="shared" si="12"/>
        <v>44406</v>
      </c>
      <c r="B625" s="8">
        <f t="shared" si="13"/>
        <v>279724895</v>
      </c>
      <c r="C625" s="8">
        <f t="shared" si="14"/>
        <v>-0.00007205479452</v>
      </c>
      <c r="D625" s="8">
        <v>4419.15</v>
      </c>
      <c r="E625" s="8">
        <f t="shared" si="17"/>
        <v>0.00420620637</v>
      </c>
      <c r="F625" s="53">
        <v>0.094172408</v>
      </c>
      <c r="G625" s="8">
        <f t="shared" si="16"/>
        <v>0.000002580065973</v>
      </c>
      <c r="H625" s="8">
        <f t="shared" si="11"/>
        <v>4419.15</v>
      </c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54">
        <f t="shared" si="12"/>
        <v>44407</v>
      </c>
      <c r="B626" s="8">
        <f t="shared" si="13"/>
        <v>279704739.4</v>
      </c>
      <c r="C626" s="8">
        <f t="shared" si="14"/>
        <v>-0.00007205479452</v>
      </c>
      <c r="D626" s="8">
        <v>4395.26</v>
      </c>
      <c r="E626" s="8">
        <f t="shared" si="17"/>
        <v>-0.005406016994</v>
      </c>
      <c r="F626" s="53">
        <v>0.083705295</v>
      </c>
      <c r="G626" s="8">
        <f t="shared" si="16"/>
        <v>0.000002293295753</v>
      </c>
      <c r="H626" s="8">
        <f t="shared" si="11"/>
        <v>4395.26</v>
      </c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54">
        <f t="shared" si="12"/>
        <v>44408</v>
      </c>
      <c r="B627" s="8">
        <f t="shared" si="13"/>
        <v>279684585.4</v>
      </c>
      <c r="C627" s="8">
        <f t="shared" si="14"/>
        <v>-0.00007205479452</v>
      </c>
      <c r="D627" s="8">
        <v>4395.26</v>
      </c>
      <c r="E627" s="8">
        <f t="shared" si="17"/>
        <v>0</v>
      </c>
      <c r="F627" s="53">
        <v>0.098119804</v>
      </c>
      <c r="G627" s="8">
        <f t="shared" si="16"/>
        <v>0.000002688213808</v>
      </c>
      <c r="H627" s="8">
        <f t="shared" si="11"/>
        <v>4395.26</v>
      </c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54">
        <f t="shared" si="12"/>
        <v>44409</v>
      </c>
      <c r="B628" s="8">
        <f t="shared" si="13"/>
        <v>279664432.8</v>
      </c>
      <c r="C628" s="8">
        <f t="shared" si="14"/>
        <v>-0.00007205479452</v>
      </c>
      <c r="D628" s="8">
        <v>4395.26</v>
      </c>
      <c r="E628" s="8">
        <f t="shared" si="17"/>
        <v>0</v>
      </c>
      <c r="F628" s="53">
        <v>0.109018299</v>
      </c>
      <c r="G628" s="8">
        <f t="shared" si="16"/>
        <v>0.000002986802712</v>
      </c>
      <c r="H628" s="8">
        <f t="shared" si="11"/>
        <v>4395.26</v>
      </c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54">
        <f t="shared" si="12"/>
        <v>44410</v>
      </c>
      <c r="B629" s="8">
        <f t="shared" si="13"/>
        <v>279644281.6</v>
      </c>
      <c r="C629" s="8">
        <f t="shared" si="14"/>
        <v>-0.00007205479452</v>
      </c>
      <c r="D629" s="8">
        <v>4387.16</v>
      </c>
      <c r="E629" s="8">
        <f t="shared" si="17"/>
        <v>-0.001842894391</v>
      </c>
      <c r="F629" s="53">
        <v>0.112655066</v>
      </c>
      <c r="G629" s="8">
        <f t="shared" si="16"/>
        <v>0.000003086440164</v>
      </c>
      <c r="H629" s="8">
        <f t="shared" si="11"/>
        <v>4387.16</v>
      </c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54">
        <f t="shared" si="12"/>
        <v>44411</v>
      </c>
      <c r="B630" s="8">
        <f t="shared" si="13"/>
        <v>279624131.9</v>
      </c>
      <c r="C630" s="8">
        <f t="shared" si="14"/>
        <v>-0.00007205479452</v>
      </c>
      <c r="D630" s="8">
        <v>4423.15</v>
      </c>
      <c r="E630" s="8">
        <f t="shared" si="17"/>
        <v>0.008203484714</v>
      </c>
      <c r="F630" s="53">
        <v>0.094850885</v>
      </c>
      <c r="G630" s="8">
        <f t="shared" si="16"/>
        <v>0.000002598654384</v>
      </c>
      <c r="H630" s="8">
        <f t="shared" si="11"/>
        <v>4423.15</v>
      </c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54">
        <f t="shared" si="12"/>
        <v>44412</v>
      </c>
      <c r="B631" s="8">
        <f t="shared" si="13"/>
        <v>279603983.6</v>
      </c>
      <c r="C631" s="8">
        <f t="shared" si="14"/>
        <v>-0.00007205479452</v>
      </c>
      <c r="D631" s="8">
        <v>4402.66</v>
      </c>
      <c r="E631" s="8">
        <f t="shared" si="17"/>
        <v>-0.004632445203</v>
      </c>
      <c r="F631" s="53">
        <v>0.110682686</v>
      </c>
      <c r="G631" s="8">
        <f t="shared" si="16"/>
        <v>0.000003032402356</v>
      </c>
      <c r="H631" s="8">
        <f t="shared" si="11"/>
        <v>4402.66</v>
      </c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54">
        <f t="shared" si="12"/>
        <v>44413</v>
      </c>
      <c r="B632" s="8">
        <f t="shared" si="13"/>
        <v>279583836.8</v>
      </c>
      <c r="C632" s="8">
        <f t="shared" si="14"/>
        <v>-0.00007205479452</v>
      </c>
      <c r="D632" s="8">
        <v>4429.1</v>
      </c>
      <c r="E632" s="8">
        <f t="shared" si="17"/>
        <v>0.006005460335</v>
      </c>
      <c r="F632" s="53">
        <v>0.095080259</v>
      </c>
      <c r="G632" s="8">
        <f t="shared" si="16"/>
        <v>0.000002604938603</v>
      </c>
      <c r="H632" s="8">
        <f t="shared" si="11"/>
        <v>4429.1</v>
      </c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54">
        <f t="shared" si="12"/>
        <v>44414</v>
      </c>
      <c r="B633" s="8">
        <f t="shared" si="13"/>
        <v>279563691.5</v>
      </c>
      <c r="C633" s="8">
        <f t="shared" si="14"/>
        <v>-0.00007205479452</v>
      </c>
      <c r="D633" s="8">
        <v>4436.52</v>
      </c>
      <c r="E633" s="8">
        <f t="shared" si="17"/>
        <v>0.001675283918</v>
      </c>
      <c r="F633" s="53">
        <v>0.108658125</v>
      </c>
      <c r="G633" s="8">
        <f t="shared" si="16"/>
        <v>0.000002976934932</v>
      </c>
      <c r="H633" s="8">
        <f t="shared" si="11"/>
        <v>4436.52</v>
      </c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54">
        <f t="shared" si="12"/>
        <v>44415</v>
      </c>
      <c r="B634" s="8">
        <f t="shared" si="13"/>
        <v>279543547.6</v>
      </c>
      <c r="C634" s="8">
        <f t="shared" si="14"/>
        <v>-0.00007205479452</v>
      </c>
      <c r="D634" s="8">
        <v>4436.52</v>
      </c>
      <c r="E634" s="8">
        <f t="shared" si="17"/>
        <v>0</v>
      </c>
      <c r="F634" s="53">
        <v>0.099251189</v>
      </c>
      <c r="G634" s="8">
        <f t="shared" si="16"/>
        <v>0.000002719210658</v>
      </c>
      <c r="H634" s="8">
        <f t="shared" si="11"/>
        <v>4436.52</v>
      </c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54">
        <f t="shared" si="12"/>
        <v>44416</v>
      </c>
      <c r="B635" s="8">
        <f t="shared" si="13"/>
        <v>279523405.1</v>
      </c>
      <c r="C635" s="8">
        <f t="shared" si="14"/>
        <v>-0.00007205479452</v>
      </c>
      <c r="D635" s="8">
        <v>4436.52</v>
      </c>
      <c r="E635" s="8">
        <f t="shared" si="17"/>
        <v>0</v>
      </c>
      <c r="F635" s="53">
        <v>0.108614663</v>
      </c>
      <c r="G635" s="8">
        <f t="shared" si="16"/>
        <v>0.000002975744192</v>
      </c>
      <c r="H635" s="8">
        <f t="shared" si="11"/>
        <v>4436.52</v>
      </c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54">
        <f t="shared" si="12"/>
        <v>44417</v>
      </c>
      <c r="B636" s="8">
        <f t="shared" si="13"/>
        <v>279503264.1</v>
      </c>
      <c r="C636" s="8">
        <f t="shared" si="14"/>
        <v>-0.00007205479452</v>
      </c>
      <c r="D636" s="8">
        <v>4432.35</v>
      </c>
      <c r="E636" s="8">
        <f t="shared" si="17"/>
        <v>-0.0009399258879</v>
      </c>
      <c r="F636" s="53">
        <v>0.096229563</v>
      </c>
      <c r="G636" s="8">
        <f t="shared" si="16"/>
        <v>0.000002636426384</v>
      </c>
      <c r="H636" s="8">
        <f t="shared" si="11"/>
        <v>4432.35</v>
      </c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54">
        <f t="shared" si="12"/>
        <v>44418</v>
      </c>
      <c r="B637" s="8">
        <f t="shared" si="13"/>
        <v>279483124.6</v>
      </c>
      <c r="C637" s="8">
        <f t="shared" si="14"/>
        <v>-0.00007205479452</v>
      </c>
      <c r="D637" s="8">
        <v>4436.75</v>
      </c>
      <c r="E637" s="8">
        <f t="shared" si="17"/>
        <v>0.0009927013887</v>
      </c>
      <c r="F637" s="53">
        <v>0.103751113</v>
      </c>
      <c r="G637" s="8">
        <f t="shared" si="16"/>
        <v>0.000002842496247</v>
      </c>
      <c r="H637" s="8">
        <f t="shared" si="11"/>
        <v>4436.75</v>
      </c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54">
        <f t="shared" si="12"/>
        <v>44419</v>
      </c>
      <c r="B638" s="8">
        <f t="shared" si="13"/>
        <v>279462986.5</v>
      </c>
      <c r="C638" s="8">
        <f t="shared" si="14"/>
        <v>-0.00007205479452</v>
      </c>
      <c r="D638" s="8">
        <v>4442.41</v>
      </c>
      <c r="E638" s="8">
        <f t="shared" si="17"/>
        <v>0.00127570857</v>
      </c>
      <c r="F638" s="53">
        <v>0.100059413</v>
      </c>
      <c r="G638" s="8">
        <f t="shared" si="16"/>
        <v>0.000002741353781</v>
      </c>
      <c r="H638" s="8">
        <f t="shared" si="11"/>
        <v>4442.41</v>
      </c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54">
        <f t="shared" si="12"/>
        <v>44420</v>
      </c>
      <c r="B639" s="8">
        <f t="shared" si="13"/>
        <v>279442849.8</v>
      </c>
      <c r="C639" s="8">
        <f t="shared" si="14"/>
        <v>-0.00007205479452</v>
      </c>
      <c r="D639" s="8">
        <v>4460.83</v>
      </c>
      <c r="E639" s="8">
        <f t="shared" si="17"/>
        <v>0.004146398014</v>
      </c>
      <c r="F639" s="53">
        <v>0.103806071</v>
      </c>
      <c r="G639" s="8">
        <f t="shared" si="16"/>
        <v>0.000002844001945</v>
      </c>
      <c r="H639" s="8">
        <f t="shared" si="11"/>
        <v>4460.83</v>
      </c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54">
        <f t="shared" si="12"/>
        <v>44421</v>
      </c>
      <c r="B640" s="8">
        <f t="shared" si="13"/>
        <v>279422714.6</v>
      </c>
      <c r="C640" s="8">
        <f t="shared" si="14"/>
        <v>-0.00007205479452</v>
      </c>
      <c r="D640" s="8">
        <v>4468.0</v>
      </c>
      <c r="E640" s="8">
        <f t="shared" si="17"/>
        <v>0.001607324198</v>
      </c>
      <c r="F640" s="53">
        <v>0.109184044</v>
      </c>
      <c r="G640" s="8">
        <f t="shared" si="16"/>
        <v>0.000002991343671</v>
      </c>
      <c r="H640" s="8">
        <f t="shared" si="11"/>
        <v>4468</v>
      </c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54">
        <f t="shared" si="12"/>
        <v>44422</v>
      </c>
      <c r="B641" s="8">
        <f t="shared" si="13"/>
        <v>279402580.9</v>
      </c>
      <c r="C641" s="8">
        <f t="shared" si="14"/>
        <v>-0.00007205479452</v>
      </c>
      <c r="D641" s="8">
        <v>4468.0</v>
      </c>
      <c r="E641" s="8">
        <f t="shared" si="17"/>
        <v>0</v>
      </c>
      <c r="F641" s="53">
        <v>0.095908653</v>
      </c>
      <c r="G641" s="8">
        <f t="shared" si="16"/>
        <v>0.000002627634329</v>
      </c>
      <c r="H641" s="8">
        <f t="shared" si="11"/>
        <v>4468</v>
      </c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54">
        <f t="shared" si="12"/>
        <v>44423</v>
      </c>
      <c r="B642" s="8">
        <f t="shared" si="13"/>
        <v>279382448.6</v>
      </c>
      <c r="C642" s="8">
        <f t="shared" si="14"/>
        <v>-0.00007205479452</v>
      </c>
      <c r="D642" s="8">
        <v>4468.0</v>
      </c>
      <c r="E642" s="8">
        <f t="shared" si="17"/>
        <v>0</v>
      </c>
      <c r="F642" s="53">
        <v>0.107712621</v>
      </c>
      <c r="G642" s="8">
        <f t="shared" si="16"/>
        <v>0.000002951030712</v>
      </c>
      <c r="H642" s="8">
        <f t="shared" si="11"/>
        <v>4468</v>
      </c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54">
        <f t="shared" si="12"/>
        <v>44424</v>
      </c>
      <c r="B643" s="8">
        <f t="shared" si="13"/>
        <v>279362317.7</v>
      </c>
      <c r="C643" s="8">
        <f t="shared" si="14"/>
        <v>-0.00007205479452</v>
      </c>
      <c r="D643" s="8">
        <v>4479.71</v>
      </c>
      <c r="E643" s="8">
        <f t="shared" si="17"/>
        <v>0.002620859445</v>
      </c>
      <c r="F643" s="53">
        <v>0.094567396</v>
      </c>
      <c r="G643" s="8">
        <f t="shared" si="16"/>
        <v>0.000002590887562</v>
      </c>
      <c r="H643" s="8">
        <f t="shared" si="11"/>
        <v>4479.71</v>
      </c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54">
        <f t="shared" si="12"/>
        <v>44425</v>
      </c>
      <c r="B644" s="8">
        <f t="shared" si="13"/>
        <v>279342188.3</v>
      </c>
      <c r="C644" s="8">
        <f t="shared" si="14"/>
        <v>-0.00007205479452</v>
      </c>
      <c r="D644" s="8">
        <v>4448.08</v>
      </c>
      <c r="E644" s="8">
        <f t="shared" si="17"/>
        <v>-0.007060724913</v>
      </c>
      <c r="F644" s="53">
        <v>0.093508672</v>
      </c>
      <c r="G644" s="8">
        <f t="shared" si="16"/>
        <v>0.000002561881425</v>
      </c>
      <c r="H644" s="8">
        <f t="shared" si="11"/>
        <v>4448.08</v>
      </c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54">
        <f t="shared" si="12"/>
        <v>44426</v>
      </c>
      <c r="B645" s="8">
        <f t="shared" si="13"/>
        <v>279322060.4</v>
      </c>
      <c r="C645" s="8">
        <f t="shared" si="14"/>
        <v>-0.00007205479452</v>
      </c>
      <c r="D645" s="8">
        <v>4400.27</v>
      </c>
      <c r="E645" s="8">
        <f t="shared" si="17"/>
        <v>-0.01074845776</v>
      </c>
      <c r="F645" s="53">
        <v>0.101081532</v>
      </c>
      <c r="G645" s="8">
        <f t="shared" si="16"/>
        <v>0.000002769357041</v>
      </c>
      <c r="H645" s="8">
        <f t="shared" si="11"/>
        <v>4400.27</v>
      </c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54">
        <f t="shared" si="12"/>
        <v>44427</v>
      </c>
      <c r="B646" s="8">
        <f t="shared" si="13"/>
        <v>279301933.9</v>
      </c>
      <c r="C646" s="8">
        <f t="shared" si="14"/>
        <v>-0.00007205479452</v>
      </c>
      <c r="D646" s="8">
        <v>4405.8</v>
      </c>
      <c r="E646" s="8">
        <f t="shared" si="17"/>
        <v>0.001256741064</v>
      </c>
      <c r="F646" s="53">
        <v>0.09430276</v>
      </c>
      <c r="G646" s="8">
        <f t="shared" si="16"/>
        <v>0.00000258363726</v>
      </c>
      <c r="H646" s="8">
        <f t="shared" si="11"/>
        <v>4405.8</v>
      </c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54">
        <f t="shared" si="12"/>
        <v>44428</v>
      </c>
      <c r="B647" s="8">
        <f t="shared" si="13"/>
        <v>279281808.8</v>
      </c>
      <c r="C647" s="8">
        <f t="shared" si="14"/>
        <v>-0.00007205479452</v>
      </c>
      <c r="D647" s="8">
        <v>4441.67</v>
      </c>
      <c r="E647" s="8">
        <f t="shared" si="17"/>
        <v>0.008141540696</v>
      </c>
      <c r="F647" s="53">
        <v>0.10075078</v>
      </c>
      <c r="G647" s="8">
        <f t="shared" si="16"/>
        <v>0.000002760295342</v>
      </c>
      <c r="H647" s="8">
        <f t="shared" si="11"/>
        <v>4441.67</v>
      </c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54">
        <f t="shared" si="12"/>
        <v>44429</v>
      </c>
      <c r="B648" s="8">
        <f t="shared" si="13"/>
        <v>279261685.3</v>
      </c>
      <c r="C648" s="8">
        <f t="shared" si="14"/>
        <v>-0.00007205479452</v>
      </c>
      <c r="D648" s="8">
        <v>4441.67</v>
      </c>
      <c r="E648" s="8">
        <f t="shared" si="17"/>
        <v>0</v>
      </c>
      <c r="F648" s="53">
        <v>0.105302036</v>
      </c>
      <c r="G648" s="8">
        <f t="shared" si="16"/>
        <v>0.000002884987288</v>
      </c>
      <c r="H648" s="8">
        <f t="shared" si="11"/>
        <v>4441.67</v>
      </c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54">
        <f t="shared" si="12"/>
        <v>44430</v>
      </c>
      <c r="B649" s="8">
        <f t="shared" si="13"/>
        <v>279241563.1</v>
      </c>
      <c r="C649" s="8">
        <f t="shared" si="14"/>
        <v>-0.00007205479452</v>
      </c>
      <c r="D649" s="8">
        <v>4441.67</v>
      </c>
      <c r="E649" s="8">
        <f t="shared" si="17"/>
        <v>0</v>
      </c>
      <c r="F649" s="53">
        <v>0.107180622</v>
      </c>
      <c r="G649" s="8">
        <f t="shared" si="16"/>
        <v>0.000002936455397</v>
      </c>
      <c r="H649" s="8">
        <f t="shared" si="11"/>
        <v>4441.67</v>
      </c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54">
        <f t="shared" si="12"/>
        <v>44431</v>
      </c>
      <c r="B650" s="8">
        <f t="shared" si="13"/>
        <v>279221442.4</v>
      </c>
      <c r="C650" s="8">
        <f t="shared" si="14"/>
        <v>-0.00007205479452</v>
      </c>
      <c r="D650" s="8">
        <v>4479.53</v>
      </c>
      <c r="E650" s="8">
        <f t="shared" si="17"/>
        <v>0.008523820995</v>
      </c>
      <c r="F650" s="53">
        <v>0.101946239</v>
      </c>
      <c r="G650" s="8">
        <f t="shared" si="16"/>
        <v>0.000002793047644</v>
      </c>
      <c r="H650" s="8">
        <f t="shared" si="11"/>
        <v>4479.53</v>
      </c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54">
        <f t="shared" si="12"/>
        <v>44432</v>
      </c>
      <c r="B651" s="8">
        <f t="shared" si="13"/>
        <v>279201323.2</v>
      </c>
      <c r="C651" s="8">
        <f t="shared" si="14"/>
        <v>-0.00007205479452</v>
      </c>
      <c r="D651" s="8">
        <v>4486.23</v>
      </c>
      <c r="E651" s="8">
        <f t="shared" si="17"/>
        <v>0.001495692628</v>
      </c>
      <c r="F651" s="53">
        <v>0.101056495</v>
      </c>
      <c r="G651" s="8">
        <f t="shared" si="16"/>
        <v>0.000002768671096</v>
      </c>
      <c r="H651" s="8">
        <f t="shared" si="11"/>
        <v>4486.23</v>
      </c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54">
        <f t="shared" si="12"/>
        <v>44433</v>
      </c>
      <c r="B652" s="8">
        <f t="shared" si="13"/>
        <v>279181205.4</v>
      </c>
      <c r="C652" s="8">
        <f t="shared" si="14"/>
        <v>-0.00007205479452</v>
      </c>
      <c r="D652" s="8">
        <v>4496.19</v>
      </c>
      <c r="E652" s="8">
        <f t="shared" si="17"/>
        <v>0.002220126922</v>
      </c>
      <c r="F652" s="53">
        <v>0.098280497</v>
      </c>
      <c r="G652" s="8">
        <f t="shared" si="16"/>
        <v>0.000002692616356</v>
      </c>
      <c r="H652" s="8">
        <f t="shared" si="11"/>
        <v>4496.19</v>
      </c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54">
        <f t="shared" si="12"/>
        <v>44434</v>
      </c>
      <c r="B653" s="8">
        <f t="shared" si="13"/>
        <v>279161089</v>
      </c>
      <c r="C653" s="8">
        <f t="shared" si="14"/>
        <v>-0.00007205479452</v>
      </c>
      <c r="D653" s="8">
        <v>4470.0</v>
      </c>
      <c r="E653" s="8">
        <f t="shared" si="17"/>
        <v>-0.005824931776</v>
      </c>
      <c r="F653" s="53">
        <v>0.100763198</v>
      </c>
      <c r="G653" s="8">
        <f t="shared" si="16"/>
        <v>0.000002760635562</v>
      </c>
      <c r="H653" s="8">
        <f t="shared" si="11"/>
        <v>4470</v>
      </c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54">
        <f t="shared" si="12"/>
        <v>44435</v>
      </c>
      <c r="B654" s="8">
        <f t="shared" si="13"/>
        <v>279140974.1</v>
      </c>
      <c r="C654" s="8">
        <f t="shared" si="14"/>
        <v>-0.00007205479452</v>
      </c>
      <c r="D654" s="8">
        <v>4509.37</v>
      </c>
      <c r="E654" s="8">
        <f t="shared" si="17"/>
        <v>0.008807606264</v>
      </c>
      <c r="F654" s="53">
        <v>0.097653709</v>
      </c>
      <c r="G654" s="8">
        <f t="shared" si="16"/>
        <v>0.000002675444082</v>
      </c>
      <c r="H654" s="8">
        <f t="shared" si="11"/>
        <v>4509.37</v>
      </c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54">
        <f t="shared" si="12"/>
        <v>44436</v>
      </c>
      <c r="B655" s="8">
        <f t="shared" si="13"/>
        <v>279120860.7</v>
      </c>
      <c r="C655" s="8">
        <f t="shared" si="14"/>
        <v>-0.00007205479452</v>
      </c>
      <c r="D655" s="8">
        <v>4509.37</v>
      </c>
      <c r="E655" s="8">
        <f t="shared" si="17"/>
        <v>0</v>
      </c>
      <c r="F655" s="53">
        <v>0.104808143</v>
      </c>
      <c r="G655" s="8">
        <f t="shared" si="16"/>
        <v>0.000002871455973</v>
      </c>
      <c r="H655" s="8">
        <f t="shared" si="11"/>
        <v>4509.37</v>
      </c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54">
        <f t="shared" si="12"/>
        <v>44437</v>
      </c>
      <c r="B656" s="8">
        <f t="shared" si="13"/>
        <v>279100748.7</v>
      </c>
      <c r="C656" s="8">
        <f t="shared" si="14"/>
        <v>-0.00007205479452</v>
      </c>
      <c r="D656" s="8">
        <v>4509.37</v>
      </c>
      <c r="E656" s="8">
        <f t="shared" si="17"/>
        <v>0</v>
      </c>
      <c r="F656" s="53">
        <v>0.095957581</v>
      </c>
      <c r="G656" s="8">
        <f t="shared" si="16"/>
        <v>0.000002628974822</v>
      </c>
      <c r="H656" s="8">
        <f t="shared" si="11"/>
        <v>4509.37</v>
      </c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54">
        <f t="shared" si="12"/>
        <v>44438</v>
      </c>
      <c r="B657" s="8">
        <f t="shared" si="13"/>
        <v>279080638.1</v>
      </c>
      <c r="C657" s="8">
        <f t="shared" si="14"/>
        <v>-0.00007205479452</v>
      </c>
      <c r="D657" s="8">
        <v>4528.79</v>
      </c>
      <c r="E657" s="8">
        <f t="shared" si="17"/>
        <v>0.004306588282</v>
      </c>
      <c r="F657" s="53">
        <v>0.091269904</v>
      </c>
      <c r="G657" s="8">
        <f t="shared" si="16"/>
        <v>0.000002500545315</v>
      </c>
      <c r="H657" s="8">
        <f t="shared" si="11"/>
        <v>4528.79</v>
      </c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54">
        <f t="shared" si="12"/>
        <v>44439</v>
      </c>
      <c r="B658" s="8">
        <f t="shared" si="13"/>
        <v>279060529.1</v>
      </c>
      <c r="C658" s="8">
        <f t="shared" si="14"/>
        <v>-0.00007205479452</v>
      </c>
      <c r="D658" s="8">
        <v>4522.68</v>
      </c>
      <c r="E658" s="8">
        <f t="shared" si="17"/>
        <v>-0.00134914624</v>
      </c>
      <c r="F658" s="53">
        <v>0.097253993</v>
      </c>
      <c r="G658" s="8">
        <f t="shared" si="16"/>
        <v>0.000002664492959</v>
      </c>
      <c r="H658" s="8">
        <f t="shared" si="11"/>
        <v>4522.68</v>
      </c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54">
        <f t="shared" si="12"/>
        <v>44440</v>
      </c>
      <c r="B659" s="8">
        <f t="shared" si="13"/>
        <v>279040421.4</v>
      </c>
      <c r="C659" s="8">
        <f t="shared" si="14"/>
        <v>-0.00007205479452</v>
      </c>
      <c r="D659" s="8">
        <v>4524.09</v>
      </c>
      <c r="E659" s="8">
        <f t="shared" si="17"/>
        <v>0.0003117620526</v>
      </c>
      <c r="F659" s="53">
        <v>0.085573929</v>
      </c>
      <c r="G659" s="8">
        <f t="shared" si="16"/>
        <v>0.000002344491205</v>
      </c>
      <c r="H659" s="8">
        <f t="shared" si="11"/>
        <v>4524.09</v>
      </c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54">
        <f t="shared" si="12"/>
        <v>44441</v>
      </c>
      <c r="B660" s="8">
        <f t="shared" si="13"/>
        <v>279020315.2</v>
      </c>
      <c r="C660" s="8">
        <f t="shared" si="14"/>
        <v>-0.00007205479452</v>
      </c>
      <c r="D660" s="8">
        <v>4536.95</v>
      </c>
      <c r="E660" s="8">
        <f t="shared" si="17"/>
        <v>0.002842560603</v>
      </c>
      <c r="F660" s="53">
        <v>0.094756884</v>
      </c>
      <c r="G660" s="8">
        <f t="shared" si="16"/>
        <v>0.000002596079014</v>
      </c>
      <c r="H660" s="8">
        <f t="shared" si="11"/>
        <v>4536.95</v>
      </c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54">
        <f t="shared" si="12"/>
        <v>44442</v>
      </c>
      <c r="B661" s="8">
        <f t="shared" si="13"/>
        <v>279000210.5</v>
      </c>
      <c r="C661" s="8">
        <f t="shared" si="14"/>
        <v>-0.00007205479452</v>
      </c>
      <c r="D661" s="8">
        <v>4535.43</v>
      </c>
      <c r="E661" s="8">
        <f t="shared" si="17"/>
        <v>-0.0003350268352</v>
      </c>
      <c r="F661" s="53">
        <v>0.087743095</v>
      </c>
      <c r="G661" s="8">
        <f t="shared" si="16"/>
        <v>0.000002403920411</v>
      </c>
      <c r="H661" s="8">
        <f t="shared" si="11"/>
        <v>4535.43</v>
      </c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54">
        <f t="shared" si="12"/>
        <v>44443</v>
      </c>
      <c r="B662" s="8">
        <f t="shared" si="13"/>
        <v>278980107.1</v>
      </c>
      <c r="C662" s="8">
        <f t="shared" si="14"/>
        <v>-0.00007205479452</v>
      </c>
      <c r="D662" s="8">
        <v>4535.43</v>
      </c>
      <c r="E662" s="8">
        <f t="shared" si="17"/>
        <v>0</v>
      </c>
      <c r="F662" s="53">
        <v>0.114227539</v>
      </c>
      <c r="G662" s="8">
        <f t="shared" si="16"/>
        <v>0.000003129521616</v>
      </c>
      <c r="H662" s="8">
        <f t="shared" si="11"/>
        <v>4535.43</v>
      </c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54">
        <f t="shared" si="12"/>
        <v>44444</v>
      </c>
      <c r="B663" s="8">
        <f t="shared" si="13"/>
        <v>278960005.3</v>
      </c>
      <c r="C663" s="8">
        <f t="shared" si="14"/>
        <v>-0.00007205479452</v>
      </c>
      <c r="D663" s="8">
        <v>4535.43</v>
      </c>
      <c r="E663" s="8">
        <f t="shared" si="17"/>
        <v>0</v>
      </c>
      <c r="F663" s="53">
        <v>0.099402956</v>
      </c>
      <c r="G663" s="8">
        <f t="shared" si="16"/>
        <v>0.000002723368658</v>
      </c>
      <c r="H663" s="8">
        <f t="shared" si="11"/>
        <v>4535.43</v>
      </c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54">
        <f t="shared" si="12"/>
        <v>44445</v>
      </c>
      <c r="B664" s="8">
        <f t="shared" si="13"/>
        <v>278939904.9</v>
      </c>
      <c r="C664" s="8">
        <f t="shared" si="14"/>
        <v>-0.00007205479452</v>
      </c>
      <c r="D664" s="8">
        <v>4535.43</v>
      </c>
      <c r="E664" s="8">
        <f t="shared" si="17"/>
        <v>0</v>
      </c>
      <c r="F664" s="53">
        <v>0.105345911</v>
      </c>
      <c r="G664" s="8">
        <f t="shared" si="16"/>
        <v>0.000002886189342</v>
      </c>
      <c r="H664" s="8">
        <f t="shared" si="11"/>
        <v>4535.43</v>
      </c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54">
        <f t="shared" si="12"/>
        <v>44446</v>
      </c>
      <c r="B665" s="8">
        <f t="shared" si="13"/>
        <v>278919805.9</v>
      </c>
      <c r="C665" s="8">
        <f t="shared" si="14"/>
        <v>-0.00007205479452</v>
      </c>
      <c r="D665" s="8">
        <v>4520.03</v>
      </c>
      <c r="E665" s="8">
        <f t="shared" si="17"/>
        <v>-0.00339548841</v>
      </c>
      <c r="F665" s="53">
        <v>0.101417486</v>
      </c>
      <c r="G665" s="8">
        <f t="shared" si="16"/>
        <v>0.00000277856126</v>
      </c>
      <c r="H665" s="8">
        <f t="shared" si="11"/>
        <v>4520.03</v>
      </c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54">
        <f t="shared" si="12"/>
        <v>44447</v>
      </c>
      <c r="B666" s="8">
        <f t="shared" si="13"/>
        <v>278899708.4</v>
      </c>
      <c r="C666" s="8">
        <f t="shared" si="14"/>
        <v>-0.00007205479452</v>
      </c>
      <c r="D666" s="8">
        <v>4514.07</v>
      </c>
      <c r="E666" s="8">
        <f t="shared" si="17"/>
        <v>-0.001318575319</v>
      </c>
      <c r="F666" s="53">
        <v>0.088719243</v>
      </c>
      <c r="G666" s="8">
        <f t="shared" si="16"/>
        <v>0.000002430664192</v>
      </c>
      <c r="H666" s="8">
        <f t="shared" si="11"/>
        <v>4514.07</v>
      </c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54">
        <f t="shared" si="12"/>
        <v>44448</v>
      </c>
      <c r="B667" s="8">
        <f t="shared" si="13"/>
        <v>278879612.4</v>
      </c>
      <c r="C667" s="8">
        <f t="shared" si="14"/>
        <v>-0.00007205479452</v>
      </c>
      <c r="D667" s="8">
        <v>4493.28</v>
      </c>
      <c r="E667" s="8">
        <f t="shared" si="17"/>
        <v>-0.004605599825</v>
      </c>
      <c r="F667" s="53">
        <v>0.102782676</v>
      </c>
      <c r="G667" s="8">
        <f t="shared" si="16"/>
        <v>0.000002815963726</v>
      </c>
      <c r="H667" s="8">
        <f t="shared" si="11"/>
        <v>4493.28</v>
      </c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54">
        <f t="shared" si="12"/>
        <v>44449</v>
      </c>
      <c r="B668" s="8">
        <f t="shared" si="13"/>
        <v>278859517.7</v>
      </c>
      <c r="C668" s="8">
        <f t="shared" si="14"/>
        <v>-0.00007205479452</v>
      </c>
      <c r="D668" s="8">
        <v>4458.58</v>
      </c>
      <c r="E668" s="8">
        <f t="shared" si="17"/>
        <v>-0.007722643592</v>
      </c>
      <c r="F668" s="53">
        <v>0.090934388</v>
      </c>
      <c r="G668" s="8">
        <f t="shared" si="16"/>
        <v>0.000002491353096</v>
      </c>
      <c r="H668" s="8">
        <f t="shared" si="11"/>
        <v>4458.58</v>
      </c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54">
        <f t="shared" si="12"/>
        <v>44450</v>
      </c>
      <c r="B669" s="8">
        <f t="shared" si="13"/>
        <v>278839424.6</v>
      </c>
      <c r="C669" s="8">
        <f t="shared" si="14"/>
        <v>-0.00007205479452</v>
      </c>
      <c r="D669" s="8">
        <v>4458.58</v>
      </c>
      <c r="E669" s="8">
        <f t="shared" si="17"/>
        <v>0</v>
      </c>
      <c r="F669" s="53">
        <v>0.10596669</v>
      </c>
      <c r="G669" s="8">
        <f t="shared" si="16"/>
        <v>0.000002903196986</v>
      </c>
      <c r="H669" s="8">
        <f t="shared" si="11"/>
        <v>4458.58</v>
      </c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54">
        <f t="shared" si="12"/>
        <v>44451</v>
      </c>
      <c r="B670" s="8">
        <f t="shared" si="13"/>
        <v>278819332.9</v>
      </c>
      <c r="C670" s="8">
        <f t="shared" si="14"/>
        <v>-0.00007205479452</v>
      </c>
      <c r="D670" s="8">
        <v>4458.58</v>
      </c>
      <c r="E670" s="8">
        <f t="shared" si="17"/>
        <v>0</v>
      </c>
      <c r="F670" s="53">
        <v>0.092569062</v>
      </c>
      <c r="G670" s="8">
        <f t="shared" si="16"/>
        <v>0.000002536138685</v>
      </c>
      <c r="H670" s="8">
        <f t="shared" si="11"/>
        <v>4458.58</v>
      </c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54">
        <f t="shared" si="12"/>
        <v>44452</v>
      </c>
      <c r="B671" s="8">
        <f t="shared" si="13"/>
        <v>278799242.6</v>
      </c>
      <c r="C671" s="8">
        <f t="shared" si="14"/>
        <v>-0.00007205479452</v>
      </c>
      <c r="D671" s="8">
        <v>4468.73</v>
      </c>
      <c r="E671" s="8">
        <f t="shared" si="17"/>
        <v>0.002276509561</v>
      </c>
      <c r="F671" s="53">
        <v>0.105658457</v>
      </c>
      <c r="G671" s="8">
        <f t="shared" si="16"/>
        <v>0.000002894752247</v>
      </c>
      <c r="H671" s="8">
        <f t="shared" si="11"/>
        <v>4468.73</v>
      </c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54">
        <f t="shared" si="12"/>
        <v>44453</v>
      </c>
      <c r="B672" s="8">
        <f t="shared" si="13"/>
        <v>278779153.8</v>
      </c>
      <c r="C672" s="8">
        <f t="shared" si="14"/>
        <v>-0.00007205479452</v>
      </c>
      <c r="D672" s="8">
        <v>4443.05</v>
      </c>
      <c r="E672" s="8">
        <f t="shared" si="17"/>
        <v>-0.005746599146</v>
      </c>
      <c r="F672" s="53">
        <v>0.113747457</v>
      </c>
      <c r="G672" s="8">
        <f t="shared" si="16"/>
        <v>0.000003116368685</v>
      </c>
      <c r="H672" s="8">
        <f t="shared" si="11"/>
        <v>4443.05</v>
      </c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54">
        <f t="shared" si="12"/>
        <v>44454</v>
      </c>
      <c r="B673" s="8">
        <f t="shared" si="13"/>
        <v>278759066.4</v>
      </c>
      <c r="C673" s="8">
        <f t="shared" si="14"/>
        <v>-0.00007205479452</v>
      </c>
      <c r="D673" s="8">
        <v>4480.7</v>
      </c>
      <c r="E673" s="8">
        <f t="shared" si="17"/>
        <v>0.008473908689</v>
      </c>
      <c r="F673" s="53">
        <v>0.088746223</v>
      </c>
      <c r="G673" s="8">
        <f t="shared" si="16"/>
        <v>0.00000243140337</v>
      </c>
      <c r="H673" s="8">
        <f t="shared" si="11"/>
        <v>4480.7</v>
      </c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54">
        <f t="shared" si="12"/>
        <v>44455</v>
      </c>
      <c r="B674" s="8">
        <f t="shared" si="13"/>
        <v>278738980.5</v>
      </c>
      <c r="C674" s="8">
        <f t="shared" si="14"/>
        <v>-0.00007205479452</v>
      </c>
      <c r="D674" s="8">
        <v>4473.75</v>
      </c>
      <c r="E674" s="8">
        <f t="shared" si="17"/>
        <v>-0.001551096927</v>
      </c>
      <c r="F674" s="53">
        <v>0.10875658</v>
      </c>
      <c r="G674" s="8">
        <f t="shared" si="16"/>
        <v>0.000002979632329</v>
      </c>
      <c r="H674" s="8">
        <f t="shared" si="11"/>
        <v>4473.75</v>
      </c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54">
        <f t="shared" si="12"/>
        <v>44456</v>
      </c>
      <c r="B675" s="8">
        <f t="shared" si="13"/>
        <v>278718896</v>
      </c>
      <c r="C675" s="8">
        <f t="shared" si="14"/>
        <v>-0.00007205479452</v>
      </c>
      <c r="D675" s="8">
        <v>4432.99</v>
      </c>
      <c r="E675" s="8">
        <f t="shared" si="17"/>
        <v>-0.009110924839</v>
      </c>
      <c r="F675" s="53">
        <v>0.090489688</v>
      </c>
      <c r="G675" s="8">
        <f t="shared" si="16"/>
        <v>0.000002479169534</v>
      </c>
      <c r="H675" s="8">
        <f t="shared" si="11"/>
        <v>4432.99</v>
      </c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54">
        <f t="shared" si="12"/>
        <v>44457</v>
      </c>
      <c r="B676" s="8">
        <f t="shared" si="13"/>
        <v>278698813</v>
      </c>
      <c r="C676" s="8">
        <f t="shared" si="14"/>
        <v>-0.00007205479452</v>
      </c>
      <c r="D676" s="8">
        <v>4432.99</v>
      </c>
      <c r="E676" s="8">
        <f t="shared" si="17"/>
        <v>0</v>
      </c>
      <c r="F676" s="53">
        <v>0.106543381</v>
      </c>
      <c r="G676" s="8">
        <f t="shared" si="16"/>
        <v>0.00000291899674</v>
      </c>
      <c r="H676" s="8">
        <f t="shared" si="11"/>
        <v>4432.99</v>
      </c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54">
        <f t="shared" si="12"/>
        <v>44458</v>
      </c>
      <c r="B677" s="8">
        <f t="shared" si="13"/>
        <v>278678731.4</v>
      </c>
      <c r="C677" s="8">
        <f t="shared" si="14"/>
        <v>-0.00007205479452</v>
      </c>
      <c r="D677" s="8">
        <v>4432.99</v>
      </c>
      <c r="E677" s="8">
        <f t="shared" si="17"/>
        <v>0</v>
      </c>
      <c r="F677" s="53">
        <v>0.105094833</v>
      </c>
      <c r="G677" s="8">
        <f t="shared" si="16"/>
        <v>0.000002879310493</v>
      </c>
      <c r="H677" s="8">
        <f t="shared" si="11"/>
        <v>4432.99</v>
      </c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54">
        <f t="shared" si="12"/>
        <v>44459</v>
      </c>
      <c r="B678" s="8">
        <f t="shared" si="13"/>
        <v>278658651.2</v>
      </c>
      <c r="C678" s="8">
        <f t="shared" si="14"/>
        <v>-0.00007205479452</v>
      </c>
      <c r="D678" s="8">
        <v>4357.73</v>
      </c>
      <c r="E678" s="8">
        <f t="shared" si="17"/>
        <v>-0.01697725463</v>
      </c>
      <c r="F678" s="53">
        <v>0.103041094</v>
      </c>
      <c r="G678" s="8">
        <f t="shared" si="16"/>
        <v>0.000002823043671</v>
      </c>
      <c r="H678" s="8">
        <f t="shared" si="11"/>
        <v>4357.73</v>
      </c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54">
        <f t="shared" si="12"/>
        <v>44460</v>
      </c>
      <c r="B679" s="8">
        <f t="shared" si="13"/>
        <v>278638572.5</v>
      </c>
      <c r="C679" s="8">
        <f t="shared" si="14"/>
        <v>-0.00007205479452</v>
      </c>
      <c r="D679" s="8">
        <v>4354.19</v>
      </c>
      <c r="E679" s="8">
        <f t="shared" si="17"/>
        <v>-0.000812349549</v>
      </c>
      <c r="F679" s="53">
        <v>0.104283534</v>
      </c>
      <c r="G679" s="8">
        <f t="shared" si="16"/>
        <v>0.000002857083123</v>
      </c>
      <c r="H679" s="8">
        <f t="shared" si="11"/>
        <v>4354.19</v>
      </c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54">
        <f t="shared" si="12"/>
        <v>44461</v>
      </c>
      <c r="B680" s="8">
        <f t="shared" si="13"/>
        <v>278618495.3</v>
      </c>
      <c r="C680" s="8">
        <f t="shared" si="14"/>
        <v>-0.00007205479452</v>
      </c>
      <c r="D680" s="8">
        <v>4395.64</v>
      </c>
      <c r="E680" s="8">
        <f t="shared" si="17"/>
        <v>0.009519566211</v>
      </c>
      <c r="F680" s="53">
        <v>0.095612416</v>
      </c>
      <c r="G680" s="8">
        <f t="shared" si="16"/>
        <v>0.000002619518247</v>
      </c>
      <c r="H680" s="8">
        <f t="shared" si="11"/>
        <v>4395.64</v>
      </c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54">
        <f t="shared" si="12"/>
        <v>44462</v>
      </c>
      <c r="B681" s="8">
        <f t="shared" si="13"/>
        <v>278598419.5</v>
      </c>
      <c r="C681" s="8">
        <f t="shared" si="14"/>
        <v>-0.00007205479452</v>
      </c>
      <c r="D681" s="8">
        <v>4448.98</v>
      </c>
      <c r="E681" s="8">
        <f t="shared" si="17"/>
        <v>0.01213475171</v>
      </c>
      <c r="F681" s="53">
        <v>0.09378708</v>
      </c>
      <c r="G681" s="8">
        <f t="shared" si="16"/>
        <v>0.000002569509041</v>
      </c>
      <c r="H681" s="8">
        <f t="shared" si="11"/>
        <v>4448.98</v>
      </c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54">
        <f t="shared" si="12"/>
        <v>44463</v>
      </c>
      <c r="B682" s="8">
        <f t="shared" si="13"/>
        <v>278578345.1</v>
      </c>
      <c r="C682" s="8">
        <f t="shared" si="14"/>
        <v>-0.00007205479452</v>
      </c>
      <c r="D682" s="8">
        <v>4455.48</v>
      </c>
      <c r="E682" s="8">
        <f t="shared" si="17"/>
        <v>0.00146100904</v>
      </c>
      <c r="F682" s="53">
        <v>0.119675543</v>
      </c>
      <c r="G682" s="8">
        <f t="shared" si="16"/>
        <v>0.000003278782</v>
      </c>
      <c r="H682" s="8">
        <f t="shared" si="11"/>
        <v>4455.48</v>
      </c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54">
        <f t="shared" si="12"/>
        <v>44464</v>
      </c>
      <c r="B683" s="8">
        <f t="shared" si="13"/>
        <v>278558272.2</v>
      </c>
      <c r="C683" s="8">
        <f t="shared" si="14"/>
        <v>-0.00007205479452</v>
      </c>
      <c r="D683" s="8">
        <v>4455.48</v>
      </c>
      <c r="E683" s="8">
        <f t="shared" si="17"/>
        <v>0</v>
      </c>
      <c r="F683" s="53">
        <v>0.099278979</v>
      </c>
      <c r="G683" s="8">
        <f t="shared" si="16"/>
        <v>0.000002719972027</v>
      </c>
      <c r="H683" s="8">
        <f t="shared" si="11"/>
        <v>4455.48</v>
      </c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54">
        <f t="shared" si="12"/>
        <v>44465</v>
      </c>
      <c r="B684" s="8">
        <f t="shared" si="13"/>
        <v>278538200.8</v>
      </c>
      <c r="C684" s="8">
        <f t="shared" si="14"/>
        <v>-0.00007205479452</v>
      </c>
      <c r="D684" s="8">
        <v>4455.48</v>
      </c>
      <c r="E684" s="8">
        <f t="shared" si="17"/>
        <v>0</v>
      </c>
      <c r="F684" s="53">
        <v>0.107761737</v>
      </c>
      <c r="G684" s="8">
        <f t="shared" si="16"/>
        <v>0.000002952376356</v>
      </c>
      <c r="H684" s="8">
        <f t="shared" si="11"/>
        <v>4455.48</v>
      </c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54">
        <f t="shared" si="12"/>
        <v>44466</v>
      </c>
      <c r="B685" s="8">
        <f t="shared" si="13"/>
        <v>278518130.8</v>
      </c>
      <c r="C685" s="8">
        <f t="shared" si="14"/>
        <v>-0.00007205479452</v>
      </c>
      <c r="D685" s="8">
        <v>4443.11</v>
      </c>
      <c r="E685" s="8">
        <f t="shared" si="17"/>
        <v>-0.002776356307</v>
      </c>
      <c r="F685" s="53">
        <v>0.118703987</v>
      </c>
      <c r="G685" s="8">
        <f t="shared" si="16"/>
        <v>0.000003252164027</v>
      </c>
      <c r="H685" s="8">
        <f t="shared" si="11"/>
        <v>4443.11</v>
      </c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54">
        <f t="shared" si="12"/>
        <v>44467</v>
      </c>
      <c r="B686" s="8">
        <f t="shared" si="13"/>
        <v>278498062.2</v>
      </c>
      <c r="C686" s="8">
        <f t="shared" si="14"/>
        <v>-0.00007205479452</v>
      </c>
      <c r="D686" s="8">
        <v>4352.63</v>
      </c>
      <c r="E686" s="8">
        <f t="shared" si="17"/>
        <v>-0.02036411433</v>
      </c>
      <c r="F686" s="53">
        <v>0.099378353</v>
      </c>
      <c r="G686" s="8">
        <f t="shared" si="16"/>
        <v>0.000002722694603</v>
      </c>
      <c r="H686" s="8">
        <f t="shared" si="11"/>
        <v>4352.63</v>
      </c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54">
        <f t="shared" si="12"/>
        <v>44468</v>
      </c>
      <c r="B687" s="8">
        <f t="shared" si="13"/>
        <v>278477995.1</v>
      </c>
      <c r="C687" s="8">
        <f t="shared" si="14"/>
        <v>-0.00007205479452</v>
      </c>
      <c r="D687" s="8">
        <v>4359.46</v>
      </c>
      <c r="E687" s="8">
        <f t="shared" si="17"/>
        <v>0.001569166228</v>
      </c>
      <c r="F687" s="53">
        <v>0.099338916</v>
      </c>
      <c r="G687" s="8">
        <f t="shared" si="16"/>
        <v>0.000002721614137</v>
      </c>
      <c r="H687" s="8">
        <f t="shared" si="11"/>
        <v>4359.46</v>
      </c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54">
        <f t="shared" si="12"/>
        <v>44469</v>
      </c>
      <c r="B688" s="8">
        <f t="shared" si="13"/>
        <v>278457929.4</v>
      </c>
      <c r="C688" s="8">
        <f t="shared" si="14"/>
        <v>-0.00007205479452</v>
      </c>
      <c r="D688" s="8">
        <v>4307.54</v>
      </c>
      <c r="E688" s="8">
        <f t="shared" si="17"/>
        <v>-0.01190973194</v>
      </c>
      <c r="F688" s="53">
        <v>0.095185434</v>
      </c>
      <c r="G688" s="8">
        <f t="shared" si="16"/>
        <v>0.00000260782011</v>
      </c>
      <c r="H688" s="8">
        <f t="shared" si="11"/>
        <v>4307.54</v>
      </c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54">
        <f t="shared" si="12"/>
        <v>44470</v>
      </c>
      <c r="B689" s="8">
        <f t="shared" si="13"/>
        <v>278437865.2</v>
      </c>
      <c r="C689" s="8">
        <f t="shared" si="14"/>
        <v>-0.00007205479452</v>
      </c>
      <c r="D689" s="8">
        <v>4357.04</v>
      </c>
      <c r="E689" s="8">
        <f t="shared" si="17"/>
        <v>0.01149147773</v>
      </c>
      <c r="F689" s="53">
        <v>0.090333716</v>
      </c>
      <c r="G689" s="8">
        <f t="shared" si="16"/>
        <v>0.000002474896329</v>
      </c>
      <c r="H689" s="8">
        <f t="shared" si="11"/>
        <v>4357.04</v>
      </c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54">
        <f t="shared" si="12"/>
        <v>44471</v>
      </c>
      <c r="B690" s="8">
        <f t="shared" si="13"/>
        <v>278417802.4</v>
      </c>
      <c r="C690" s="8">
        <f t="shared" si="14"/>
        <v>-0.00007205479452</v>
      </c>
      <c r="D690" s="8">
        <v>4357.04</v>
      </c>
      <c r="E690" s="8">
        <f t="shared" si="17"/>
        <v>0</v>
      </c>
      <c r="F690" s="53">
        <v>0.1103589</v>
      </c>
      <c r="G690" s="8">
        <f t="shared" si="16"/>
        <v>0.000003023531507</v>
      </c>
      <c r="H690" s="8">
        <f t="shared" si="11"/>
        <v>4357.04</v>
      </c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54">
        <f t="shared" si="12"/>
        <v>44472</v>
      </c>
      <c r="B691" s="8">
        <f t="shared" si="13"/>
        <v>278397741.1</v>
      </c>
      <c r="C691" s="8">
        <f t="shared" si="14"/>
        <v>-0.00007205479452</v>
      </c>
      <c r="D691" s="8">
        <v>4357.04</v>
      </c>
      <c r="E691" s="8">
        <f t="shared" si="17"/>
        <v>0</v>
      </c>
      <c r="F691" s="53">
        <v>0.102909839</v>
      </c>
      <c r="G691" s="8">
        <f t="shared" si="16"/>
        <v>0.000002819447644</v>
      </c>
      <c r="H691" s="8">
        <f t="shared" si="11"/>
        <v>4357.04</v>
      </c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54">
        <f t="shared" si="12"/>
        <v>44473</v>
      </c>
      <c r="B692" s="8">
        <f t="shared" si="13"/>
        <v>278377681.2</v>
      </c>
      <c r="C692" s="8">
        <f t="shared" si="14"/>
        <v>-0.00007205479452</v>
      </c>
      <c r="D692" s="8">
        <v>4300.46</v>
      </c>
      <c r="E692" s="8">
        <f t="shared" si="17"/>
        <v>-0.01298588032</v>
      </c>
      <c r="F692" s="53">
        <v>0.093848777</v>
      </c>
      <c r="G692" s="8">
        <f t="shared" si="16"/>
        <v>0.00000257119937</v>
      </c>
      <c r="H692" s="8">
        <f t="shared" si="11"/>
        <v>4300.46</v>
      </c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54">
        <f t="shared" si="12"/>
        <v>44474</v>
      </c>
      <c r="B693" s="8">
        <f t="shared" si="13"/>
        <v>278357622.7</v>
      </c>
      <c r="C693" s="8">
        <f t="shared" si="14"/>
        <v>-0.00007205479452</v>
      </c>
      <c r="D693" s="8">
        <v>4345.72</v>
      </c>
      <c r="E693" s="8">
        <f t="shared" si="17"/>
        <v>0.01052445552</v>
      </c>
      <c r="F693" s="53">
        <v>0.11071046</v>
      </c>
      <c r="G693" s="8">
        <f t="shared" si="16"/>
        <v>0.000003033163288</v>
      </c>
      <c r="H693" s="8">
        <f t="shared" si="11"/>
        <v>4345.72</v>
      </c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54">
        <f t="shared" si="12"/>
        <v>44475</v>
      </c>
      <c r="B694" s="8">
        <f t="shared" si="13"/>
        <v>278337565.7</v>
      </c>
      <c r="C694" s="8">
        <f t="shared" si="14"/>
        <v>-0.00007205479452</v>
      </c>
      <c r="D694" s="8">
        <v>4363.55</v>
      </c>
      <c r="E694" s="8">
        <f t="shared" si="17"/>
        <v>0.004102887439</v>
      </c>
      <c r="F694" s="53">
        <v>0.118075612</v>
      </c>
      <c r="G694" s="8">
        <f t="shared" si="16"/>
        <v>0.000003234948274</v>
      </c>
      <c r="H694" s="8">
        <f t="shared" si="11"/>
        <v>4363.55</v>
      </c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54">
        <f t="shared" si="12"/>
        <v>44476</v>
      </c>
      <c r="B695" s="8">
        <f t="shared" si="13"/>
        <v>278317510.2</v>
      </c>
      <c r="C695" s="8">
        <f t="shared" si="14"/>
        <v>-0.00007205479452</v>
      </c>
      <c r="D695" s="8">
        <v>4399.76</v>
      </c>
      <c r="E695" s="8">
        <f t="shared" si="17"/>
        <v>0.008298289237</v>
      </c>
      <c r="F695" s="53">
        <v>0.111877901</v>
      </c>
      <c r="G695" s="8">
        <f t="shared" si="16"/>
        <v>0.000003065147973</v>
      </c>
      <c r="H695" s="8">
        <f t="shared" si="11"/>
        <v>4399.76</v>
      </c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54">
        <f t="shared" si="12"/>
        <v>44477</v>
      </c>
      <c r="B696" s="8">
        <f t="shared" si="13"/>
        <v>278297456</v>
      </c>
      <c r="C696" s="8">
        <f t="shared" si="14"/>
        <v>-0.00007205479452</v>
      </c>
      <c r="D696" s="8">
        <v>4391.34</v>
      </c>
      <c r="E696" s="8">
        <f t="shared" si="17"/>
        <v>-0.001913740749</v>
      </c>
      <c r="F696" s="53">
        <v>0.090129141</v>
      </c>
      <c r="G696" s="8">
        <f t="shared" si="16"/>
        <v>0.000002469291534</v>
      </c>
      <c r="H696" s="8">
        <f t="shared" si="11"/>
        <v>4391.34</v>
      </c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54">
        <f t="shared" si="12"/>
        <v>44478</v>
      </c>
      <c r="B697" s="8">
        <f t="shared" si="13"/>
        <v>278277403.4</v>
      </c>
      <c r="C697" s="8">
        <f t="shared" si="14"/>
        <v>-0.00007205479452</v>
      </c>
      <c r="D697" s="8">
        <v>4391.34</v>
      </c>
      <c r="E697" s="8">
        <f t="shared" si="17"/>
        <v>0</v>
      </c>
      <c r="F697" s="53">
        <v>0.090567768</v>
      </c>
      <c r="G697" s="8">
        <f t="shared" si="16"/>
        <v>0.000002481308712</v>
      </c>
      <c r="H697" s="8">
        <f t="shared" si="11"/>
        <v>4391.34</v>
      </c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54">
        <f t="shared" si="12"/>
        <v>44479</v>
      </c>
      <c r="B698" s="8">
        <f t="shared" si="13"/>
        <v>278257352.2</v>
      </c>
      <c r="C698" s="8">
        <f t="shared" si="14"/>
        <v>-0.00007205479452</v>
      </c>
      <c r="D698" s="8">
        <v>4391.34</v>
      </c>
      <c r="E698" s="8">
        <f t="shared" si="17"/>
        <v>0</v>
      </c>
      <c r="F698" s="53">
        <v>0.093057101</v>
      </c>
      <c r="G698" s="8">
        <f t="shared" si="16"/>
        <v>0.000002549509616</v>
      </c>
      <c r="H698" s="8">
        <f t="shared" si="11"/>
        <v>4391.34</v>
      </c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54">
        <f t="shared" si="12"/>
        <v>44480</v>
      </c>
      <c r="B699" s="8">
        <f t="shared" si="13"/>
        <v>278237302.4</v>
      </c>
      <c r="C699" s="8">
        <f t="shared" si="14"/>
        <v>-0.00007205479452</v>
      </c>
      <c r="D699" s="8">
        <v>4361.19</v>
      </c>
      <c r="E699" s="8">
        <f t="shared" si="17"/>
        <v>-0.006865785842</v>
      </c>
      <c r="F699" s="53">
        <v>0.103269955</v>
      </c>
      <c r="G699" s="8">
        <f t="shared" si="16"/>
        <v>0.000002829313836</v>
      </c>
      <c r="H699" s="8">
        <f t="shared" si="11"/>
        <v>4361.19</v>
      </c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54">
        <f t="shared" si="12"/>
        <v>44481</v>
      </c>
      <c r="B700" s="8">
        <f t="shared" si="13"/>
        <v>278217254.1</v>
      </c>
      <c r="C700" s="8">
        <f t="shared" si="14"/>
        <v>-0.00007205479452</v>
      </c>
      <c r="D700" s="8">
        <v>4350.65</v>
      </c>
      <c r="E700" s="8">
        <f t="shared" si="17"/>
        <v>-0.002416771569</v>
      </c>
      <c r="F700" s="53">
        <v>0.112496559</v>
      </c>
      <c r="G700" s="8">
        <f t="shared" si="16"/>
        <v>0.000003082097507</v>
      </c>
      <c r="H700" s="8">
        <f t="shared" si="11"/>
        <v>4350.65</v>
      </c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54">
        <f t="shared" si="12"/>
        <v>44482</v>
      </c>
      <c r="B701" s="8">
        <f t="shared" si="13"/>
        <v>278197207.2</v>
      </c>
      <c r="C701" s="8">
        <f t="shared" si="14"/>
        <v>-0.00007205479452</v>
      </c>
      <c r="D701" s="8">
        <v>4363.8</v>
      </c>
      <c r="E701" s="8">
        <f t="shared" si="17"/>
        <v>0.003022536862</v>
      </c>
      <c r="F701" s="53">
        <v>0.106231404</v>
      </c>
      <c r="G701" s="8">
        <f t="shared" si="16"/>
        <v>0.000002910449425</v>
      </c>
      <c r="H701" s="8">
        <f t="shared" si="11"/>
        <v>4363.8</v>
      </c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54">
        <f t="shared" si="12"/>
        <v>44483</v>
      </c>
      <c r="B702" s="8">
        <f t="shared" si="13"/>
        <v>278177161.7</v>
      </c>
      <c r="C702" s="8">
        <f t="shared" si="14"/>
        <v>-0.00007205479452</v>
      </c>
      <c r="D702" s="8">
        <v>4438.26</v>
      </c>
      <c r="E702" s="8">
        <f t="shared" si="17"/>
        <v>0.01706311013</v>
      </c>
      <c r="F702" s="53">
        <v>0.094989449</v>
      </c>
      <c r="G702" s="8">
        <f t="shared" si="16"/>
        <v>0.000002602450658</v>
      </c>
      <c r="H702" s="8">
        <f t="shared" si="11"/>
        <v>4438.26</v>
      </c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54">
        <f t="shared" si="12"/>
        <v>44484</v>
      </c>
      <c r="B703" s="8">
        <f t="shared" si="13"/>
        <v>278157117.7</v>
      </c>
      <c r="C703" s="8">
        <f t="shared" si="14"/>
        <v>-0.00007205479452</v>
      </c>
      <c r="D703" s="8">
        <v>4471.37</v>
      </c>
      <c r="E703" s="8">
        <f t="shared" si="17"/>
        <v>0.007460130772</v>
      </c>
      <c r="F703" s="53">
        <v>0.089631806</v>
      </c>
      <c r="G703" s="8">
        <f t="shared" si="16"/>
        <v>0.000002455665918</v>
      </c>
      <c r="H703" s="8">
        <f t="shared" si="11"/>
        <v>4471.37</v>
      </c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54">
        <f t="shared" si="12"/>
        <v>44485</v>
      </c>
      <c r="B704" s="8">
        <f t="shared" si="13"/>
        <v>278137075.2</v>
      </c>
      <c r="C704" s="8">
        <f t="shared" si="14"/>
        <v>-0.00007205479452</v>
      </c>
      <c r="D704" s="8">
        <v>4471.37</v>
      </c>
      <c r="E704" s="8">
        <f t="shared" si="17"/>
        <v>0</v>
      </c>
      <c r="F704" s="53">
        <v>0.085001203</v>
      </c>
      <c r="G704" s="8">
        <f t="shared" si="16"/>
        <v>0.000002328800082</v>
      </c>
      <c r="H704" s="8">
        <f t="shared" si="11"/>
        <v>4471.37</v>
      </c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54">
        <f t="shared" si="12"/>
        <v>44486</v>
      </c>
      <c r="B705" s="8">
        <f t="shared" si="13"/>
        <v>278117034.1</v>
      </c>
      <c r="C705" s="8">
        <f t="shared" si="14"/>
        <v>-0.00007205479452</v>
      </c>
      <c r="D705" s="8">
        <v>4471.37</v>
      </c>
      <c r="E705" s="8">
        <f t="shared" si="17"/>
        <v>0</v>
      </c>
      <c r="F705" s="53">
        <v>0.095807383</v>
      </c>
      <c r="G705" s="8">
        <f t="shared" si="16"/>
        <v>0.000002624859808</v>
      </c>
      <c r="H705" s="8">
        <f t="shared" si="11"/>
        <v>4471.37</v>
      </c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54">
        <f t="shared" si="12"/>
        <v>44487</v>
      </c>
      <c r="B706" s="8">
        <f t="shared" si="13"/>
        <v>278096994.4</v>
      </c>
      <c r="C706" s="8">
        <f t="shared" si="14"/>
        <v>-0.00007205479452</v>
      </c>
      <c r="D706" s="8">
        <v>4486.46</v>
      </c>
      <c r="E706" s="8">
        <f t="shared" si="17"/>
        <v>0.00337480459</v>
      </c>
      <c r="F706" s="53">
        <v>0.108013364</v>
      </c>
      <c r="G706" s="8">
        <f t="shared" si="16"/>
        <v>0.000002959270247</v>
      </c>
      <c r="H706" s="8">
        <f t="shared" si="11"/>
        <v>4486.46</v>
      </c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54">
        <f t="shared" si="12"/>
        <v>44488</v>
      </c>
      <c r="B707" s="8">
        <f t="shared" si="13"/>
        <v>278076956.2</v>
      </c>
      <c r="C707" s="8">
        <f t="shared" si="14"/>
        <v>-0.00007205479452</v>
      </c>
      <c r="D707" s="8">
        <v>4519.63</v>
      </c>
      <c r="E707" s="8">
        <f t="shared" si="17"/>
        <v>0.007393356901</v>
      </c>
      <c r="F707" s="53">
        <v>0.105029917</v>
      </c>
      <c r="G707" s="8">
        <f t="shared" si="16"/>
        <v>0.000002877531973</v>
      </c>
      <c r="H707" s="8">
        <f t="shared" si="11"/>
        <v>4519.63</v>
      </c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54">
        <f t="shared" si="12"/>
        <v>44489</v>
      </c>
      <c r="B708" s="8">
        <f t="shared" si="13"/>
        <v>278056919.4</v>
      </c>
      <c r="C708" s="8">
        <f t="shared" si="14"/>
        <v>-0.00007205479452</v>
      </c>
      <c r="D708" s="8">
        <v>4536.19</v>
      </c>
      <c r="E708" s="8">
        <f t="shared" si="17"/>
        <v>0.003664016745</v>
      </c>
      <c r="F708" s="53">
        <v>0.107035989</v>
      </c>
      <c r="G708" s="8">
        <f t="shared" si="16"/>
        <v>0.000002932492849</v>
      </c>
      <c r="H708" s="8">
        <f t="shared" si="11"/>
        <v>4536.19</v>
      </c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54">
        <f t="shared" si="12"/>
        <v>44490</v>
      </c>
      <c r="B709" s="8">
        <f t="shared" si="13"/>
        <v>278036884.1</v>
      </c>
      <c r="C709" s="8">
        <f t="shared" si="14"/>
        <v>-0.00007205479452</v>
      </c>
      <c r="D709" s="8">
        <v>4549.78</v>
      </c>
      <c r="E709" s="8">
        <f t="shared" si="17"/>
        <v>0.002995906256</v>
      </c>
      <c r="F709" s="53">
        <v>0.099299864</v>
      </c>
      <c r="G709" s="8">
        <f t="shared" si="16"/>
        <v>0.000002720544219</v>
      </c>
      <c r="H709" s="8">
        <f t="shared" si="11"/>
        <v>4549.78</v>
      </c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54">
        <f t="shared" si="12"/>
        <v>44491</v>
      </c>
      <c r="B710" s="8">
        <f t="shared" si="13"/>
        <v>278016850.2</v>
      </c>
      <c r="C710" s="8">
        <f t="shared" si="14"/>
        <v>-0.00007205479452</v>
      </c>
      <c r="D710" s="8">
        <v>4544.9</v>
      </c>
      <c r="E710" s="8">
        <f t="shared" si="17"/>
        <v>-0.001072579334</v>
      </c>
      <c r="F710" s="53">
        <v>0.103073482</v>
      </c>
      <c r="G710" s="8">
        <f t="shared" si="16"/>
        <v>0.000002823931014</v>
      </c>
      <c r="H710" s="8">
        <f t="shared" si="11"/>
        <v>4544.9</v>
      </c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54">
        <f t="shared" si="12"/>
        <v>44492</v>
      </c>
      <c r="B711" s="8">
        <f t="shared" si="13"/>
        <v>277996817.7</v>
      </c>
      <c r="C711" s="8">
        <f t="shared" si="14"/>
        <v>-0.00007205479452</v>
      </c>
      <c r="D711" s="8">
        <v>4544.9</v>
      </c>
      <c r="E711" s="8">
        <f t="shared" si="17"/>
        <v>0</v>
      </c>
      <c r="F711" s="53">
        <v>0.106088474</v>
      </c>
      <c r="G711" s="8">
        <f t="shared" si="16"/>
        <v>0.000002906533534</v>
      </c>
      <c r="H711" s="8">
        <f t="shared" si="11"/>
        <v>4544.9</v>
      </c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54">
        <f t="shared" si="12"/>
        <v>44493</v>
      </c>
      <c r="B712" s="8">
        <f t="shared" si="13"/>
        <v>277976786.7</v>
      </c>
      <c r="C712" s="8">
        <f t="shared" si="14"/>
        <v>-0.00007205479452</v>
      </c>
      <c r="D712" s="8">
        <v>4544.9</v>
      </c>
      <c r="E712" s="8">
        <f t="shared" si="17"/>
        <v>0</v>
      </c>
      <c r="F712" s="53">
        <v>0.115932555</v>
      </c>
      <c r="G712" s="8">
        <f t="shared" si="16"/>
        <v>0.000003176234384</v>
      </c>
      <c r="H712" s="8">
        <f t="shared" si="11"/>
        <v>4544.9</v>
      </c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54">
        <f t="shared" si="12"/>
        <v>44494</v>
      </c>
      <c r="B713" s="8">
        <f t="shared" si="13"/>
        <v>277956757.2</v>
      </c>
      <c r="C713" s="8">
        <f t="shared" si="14"/>
        <v>-0.00007205479452</v>
      </c>
      <c r="D713" s="8">
        <v>4566.48</v>
      </c>
      <c r="E713" s="8">
        <f t="shared" si="17"/>
        <v>0.004748179278</v>
      </c>
      <c r="F713" s="53">
        <v>0.118654814</v>
      </c>
      <c r="G713" s="8">
        <f t="shared" si="16"/>
        <v>0.000003250816822</v>
      </c>
      <c r="H713" s="8">
        <f t="shared" si="11"/>
        <v>4566.48</v>
      </c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54">
        <f t="shared" si="12"/>
        <v>44495</v>
      </c>
      <c r="B714" s="8">
        <f t="shared" si="13"/>
        <v>277936729</v>
      </c>
      <c r="C714" s="8">
        <f t="shared" si="14"/>
        <v>-0.00007205479452</v>
      </c>
      <c r="D714" s="8">
        <v>4574.79</v>
      </c>
      <c r="E714" s="8">
        <f t="shared" si="17"/>
        <v>0.001819782414</v>
      </c>
      <c r="F714" s="53">
        <v>0.099237941</v>
      </c>
      <c r="G714" s="8">
        <f t="shared" si="16"/>
        <v>0.000002718847699</v>
      </c>
      <c r="H714" s="8">
        <f t="shared" si="11"/>
        <v>4574.79</v>
      </c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54">
        <f t="shared" si="12"/>
        <v>44496</v>
      </c>
      <c r="B715" s="8">
        <f t="shared" si="13"/>
        <v>277916702.4</v>
      </c>
      <c r="C715" s="8">
        <f t="shared" si="14"/>
        <v>-0.00007205479452</v>
      </c>
      <c r="D715" s="8">
        <v>4551.68</v>
      </c>
      <c r="E715" s="8">
        <f t="shared" si="17"/>
        <v>-0.005051597997</v>
      </c>
      <c r="F715" s="53">
        <v>0.094831115</v>
      </c>
      <c r="G715" s="8">
        <f t="shared" si="16"/>
        <v>0.00000259811274</v>
      </c>
      <c r="H715" s="8">
        <f t="shared" si="11"/>
        <v>4551.68</v>
      </c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54">
        <f t="shared" si="12"/>
        <v>44497</v>
      </c>
      <c r="B716" s="8">
        <f t="shared" si="13"/>
        <v>277896677.1</v>
      </c>
      <c r="C716" s="8">
        <f t="shared" si="14"/>
        <v>-0.00007205479452</v>
      </c>
      <c r="D716" s="8">
        <v>4596.42</v>
      </c>
      <c r="E716" s="8">
        <f t="shared" si="17"/>
        <v>0.009829337739</v>
      </c>
      <c r="F716" s="53">
        <v>0.105604898</v>
      </c>
      <c r="G716" s="8">
        <f t="shared" si="16"/>
        <v>0.000002893284877</v>
      </c>
      <c r="H716" s="8">
        <f t="shared" si="11"/>
        <v>4596.42</v>
      </c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54">
        <f t="shared" si="12"/>
        <v>44498</v>
      </c>
      <c r="B717" s="8">
        <f t="shared" si="13"/>
        <v>277876653.4</v>
      </c>
      <c r="C717" s="8">
        <f t="shared" si="14"/>
        <v>-0.00007205479452</v>
      </c>
      <c r="D717" s="8">
        <v>4605.38</v>
      </c>
      <c r="E717" s="8">
        <f t="shared" si="17"/>
        <v>0.001949343184</v>
      </c>
      <c r="F717" s="53">
        <v>0.101861275</v>
      </c>
      <c r="G717" s="8">
        <f t="shared" si="16"/>
        <v>0.000002790719863</v>
      </c>
      <c r="H717" s="8">
        <f t="shared" si="11"/>
        <v>4605.38</v>
      </c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54">
        <f t="shared" si="12"/>
        <v>44499</v>
      </c>
      <c r="B718" s="8">
        <f t="shared" si="13"/>
        <v>277856631</v>
      </c>
      <c r="C718" s="8">
        <f t="shared" si="14"/>
        <v>-0.00007205479452</v>
      </c>
      <c r="D718" s="8">
        <v>4605.38</v>
      </c>
      <c r="E718" s="8">
        <f t="shared" si="17"/>
        <v>0</v>
      </c>
      <c r="F718" s="53">
        <v>0.099955674</v>
      </c>
      <c r="G718" s="8">
        <f t="shared" si="16"/>
        <v>0.000002738511616</v>
      </c>
      <c r="H718" s="8">
        <f t="shared" si="11"/>
        <v>4605.38</v>
      </c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54">
        <f t="shared" si="12"/>
        <v>44500</v>
      </c>
      <c r="B719" s="8">
        <f t="shared" si="13"/>
        <v>277836610.1</v>
      </c>
      <c r="C719" s="8">
        <f t="shared" si="14"/>
        <v>-0.00007205479452</v>
      </c>
      <c r="D719" s="8">
        <v>4605.38</v>
      </c>
      <c r="E719" s="8">
        <f t="shared" si="17"/>
        <v>0</v>
      </c>
      <c r="F719" s="53">
        <v>0.094192584</v>
      </c>
      <c r="G719" s="8">
        <f t="shared" si="16"/>
        <v>0.00000258061874</v>
      </c>
      <c r="H719" s="8">
        <f t="shared" si="11"/>
        <v>4605.38</v>
      </c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54">
        <f t="shared" si="12"/>
        <v>44501</v>
      </c>
      <c r="B720" s="8">
        <f t="shared" si="13"/>
        <v>277816590.6</v>
      </c>
      <c r="C720" s="8">
        <f t="shared" si="14"/>
        <v>-0.00007205479452</v>
      </c>
      <c r="D720" s="8">
        <v>4613.67</v>
      </c>
      <c r="E720" s="8">
        <f t="shared" si="17"/>
        <v>0.001800068615</v>
      </c>
      <c r="F720" s="53">
        <v>0.099102271</v>
      </c>
      <c r="G720" s="8">
        <f t="shared" si="16"/>
        <v>0.000002715130712</v>
      </c>
      <c r="H720" s="8">
        <f t="shared" si="11"/>
        <v>4613.67</v>
      </c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54">
        <f t="shared" si="12"/>
        <v>44502</v>
      </c>
      <c r="B721" s="8">
        <f t="shared" si="13"/>
        <v>277796572.6</v>
      </c>
      <c r="C721" s="8">
        <f t="shared" si="14"/>
        <v>-0.00007205479452</v>
      </c>
      <c r="D721" s="8">
        <v>4630.65</v>
      </c>
      <c r="E721" s="8">
        <f t="shared" si="17"/>
        <v>0.003680367256</v>
      </c>
      <c r="F721" s="53">
        <v>0.089295041</v>
      </c>
      <c r="G721" s="8">
        <f t="shared" si="16"/>
        <v>0.000002446439479</v>
      </c>
      <c r="H721" s="8">
        <f t="shared" si="11"/>
        <v>4630.65</v>
      </c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54">
        <f t="shared" si="12"/>
        <v>44503</v>
      </c>
      <c r="B722" s="8">
        <f t="shared" si="13"/>
        <v>277776556.1</v>
      </c>
      <c r="C722" s="8">
        <f t="shared" si="14"/>
        <v>-0.00007205479452</v>
      </c>
      <c r="D722" s="8">
        <v>4660.57</v>
      </c>
      <c r="E722" s="8">
        <f t="shared" si="17"/>
        <v>0.00646129593</v>
      </c>
      <c r="F722" s="53">
        <v>0.097846311</v>
      </c>
      <c r="G722" s="8">
        <f t="shared" si="16"/>
        <v>0.000002680720849</v>
      </c>
      <c r="H722" s="8">
        <f t="shared" si="11"/>
        <v>4660.57</v>
      </c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54">
        <f t="shared" si="12"/>
        <v>44504</v>
      </c>
      <c r="B723" s="8">
        <f t="shared" si="13"/>
        <v>277756540.9</v>
      </c>
      <c r="C723" s="8">
        <f t="shared" si="14"/>
        <v>-0.00007205479452</v>
      </c>
      <c r="D723" s="8">
        <v>4680.06</v>
      </c>
      <c r="E723" s="8">
        <f t="shared" si="17"/>
        <v>0.004181891915</v>
      </c>
      <c r="F723" s="53">
        <v>0.091977683</v>
      </c>
      <c r="G723" s="8">
        <f t="shared" si="16"/>
        <v>0.000002519936521</v>
      </c>
      <c r="H723" s="8">
        <f t="shared" si="11"/>
        <v>4680.06</v>
      </c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54">
        <f t="shared" si="12"/>
        <v>44505</v>
      </c>
      <c r="B724" s="8">
        <f t="shared" si="13"/>
        <v>277736527.2</v>
      </c>
      <c r="C724" s="8">
        <f t="shared" si="14"/>
        <v>-0.00007205479452</v>
      </c>
      <c r="D724" s="8">
        <v>4697.53</v>
      </c>
      <c r="E724" s="8">
        <f t="shared" si="17"/>
        <v>0.003732858126</v>
      </c>
      <c r="F724" s="53">
        <v>0.08671757</v>
      </c>
      <c r="G724" s="8">
        <f t="shared" si="16"/>
        <v>0.000002375823836</v>
      </c>
      <c r="H724" s="8">
        <f t="shared" si="11"/>
        <v>4697.53</v>
      </c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54">
        <f t="shared" si="12"/>
        <v>44506</v>
      </c>
      <c r="B725" s="8">
        <f t="shared" si="13"/>
        <v>277716515</v>
      </c>
      <c r="C725" s="8">
        <f t="shared" si="14"/>
        <v>-0.00007205479452</v>
      </c>
      <c r="D725" s="8">
        <v>4697.53</v>
      </c>
      <c r="E725" s="8">
        <f t="shared" si="17"/>
        <v>0</v>
      </c>
      <c r="F725" s="53">
        <v>0.094170024</v>
      </c>
      <c r="G725" s="8">
        <f t="shared" si="16"/>
        <v>0.000002580000658</v>
      </c>
      <c r="H725" s="8">
        <f t="shared" si="11"/>
        <v>4697.53</v>
      </c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54">
        <f t="shared" si="12"/>
        <v>44507</v>
      </c>
      <c r="B726" s="8">
        <f t="shared" si="13"/>
        <v>277696504.2</v>
      </c>
      <c r="C726" s="8">
        <f t="shared" si="14"/>
        <v>-0.00007205479452</v>
      </c>
      <c r="D726" s="8">
        <v>4697.53</v>
      </c>
      <c r="E726" s="8">
        <f t="shared" si="17"/>
        <v>0</v>
      </c>
      <c r="F726" s="53">
        <v>0.089584286</v>
      </c>
      <c r="G726" s="8">
        <f t="shared" si="16"/>
        <v>0.000002454364</v>
      </c>
      <c r="H726" s="8">
        <f t="shared" si="11"/>
        <v>4697.53</v>
      </c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54">
        <f t="shared" si="12"/>
        <v>44508</v>
      </c>
      <c r="B727" s="8">
        <f t="shared" si="13"/>
        <v>277676494.8</v>
      </c>
      <c r="C727" s="8">
        <f t="shared" si="14"/>
        <v>-0.00007205479452</v>
      </c>
      <c r="D727" s="8">
        <v>4701.7</v>
      </c>
      <c r="E727" s="8">
        <f t="shared" si="17"/>
        <v>0.0008877005575</v>
      </c>
      <c r="F727" s="53">
        <v>0.101831848</v>
      </c>
      <c r="G727" s="8">
        <f t="shared" si="16"/>
        <v>0.000002789913644</v>
      </c>
      <c r="H727" s="8">
        <f t="shared" si="11"/>
        <v>4701.7</v>
      </c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54">
        <f t="shared" si="12"/>
        <v>44509</v>
      </c>
      <c r="B728" s="8">
        <f t="shared" si="13"/>
        <v>277656486.9</v>
      </c>
      <c r="C728" s="8">
        <f t="shared" si="14"/>
        <v>-0.00007205479452</v>
      </c>
      <c r="D728" s="8">
        <v>4685.25</v>
      </c>
      <c r="E728" s="8">
        <f t="shared" si="17"/>
        <v>-0.0034987345</v>
      </c>
      <c r="F728" s="53">
        <v>0.10877286</v>
      </c>
      <c r="G728" s="8">
        <f t="shared" si="16"/>
        <v>0.000002980078356</v>
      </c>
      <c r="H728" s="8">
        <f t="shared" si="11"/>
        <v>4685.25</v>
      </c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54">
        <f t="shared" si="12"/>
        <v>44510</v>
      </c>
      <c r="B729" s="8">
        <f t="shared" si="13"/>
        <v>277636480.4</v>
      </c>
      <c r="C729" s="8">
        <f t="shared" si="14"/>
        <v>-0.00007205479452</v>
      </c>
      <c r="D729" s="8">
        <v>4646.71</v>
      </c>
      <c r="E729" s="8">
        <f t="shared" si="17"/>
        <v>-0.008225815058</v>
      </c>
      <c r="F729" s="53">
        <v>0.094861878</v>
      </c>
      <c r="G729" s="8">
        <f t="shared" si="16"/>
        <v>0.000002598955562</v>
      </c>
      <c r="H729" s="8">
        <f t="shared" si="11"/>
        <v>4646.71</v>
      </c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54">
        <f t="shared" si="12"/>
        <v>44511</v>
      </c>
      <c r="B730" s="8">
        <f t="shared" si="13"/>
        <v>277616475.4</v>
      </c>
      <c r="C730" s="8">
        <f t="shared" si="14"/>
        <v>-0.00007205479452</v>
      </c>
      <c r="D730" s="8">
        <v>4649.27</v>
      </c>
      <c r="E730" s="8">
        <f t="shared" si="17"/>
        <v>0.0005509274304</v>
      </c>
      <c r="F730" s="53">
        <v>0.095498423</v>
      </c>
      <c r="G730" s="8">
        <f t="shared" si="16"/>
        <v>0.000002616395151</v>
      </c>
      <c r="H730" s="8">
        <f t="shared" si="11"/>
        <v>4649.27</v>
      </c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54">
        <f t="shared" si="12"/>
        <v>44512</v>
      </c>
      <c r="B731" s="8">
        <f t="shared" si="13"/>
        <v>277596471.8</v>
      </c>
      <c r="C731" s="8">
        <f t="shared" si="14"/>
        <v>-0.00007205479452</v>
      </c>
      <c r="D731" s="8">
        <v>4682.85</v>
      </c>
      <c r="E731" s="8">
        <f t="shared" si="17"/>
        <v>0.007222639253</v>
      </c>
      <c r="F731" s="53">
        <v>0.087259487</v>
      </c>
      <c r="G731" s="8">
        <f t="shared" si="16"/>
        <v>0.000002390670877</v>
      </c>
      <c r="H731" s="8">
        <f t="shared" si="11"/>
        <v>4682.85</v>
      </c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54">
        <f t="shared" si="12"/>
        <v>44513</v>
      </c>
      <c r="B732" s="8">
        <f t="shared" si="13"/>
        <v>277576469.6</v>
      </c>
      <c r="C732" s="8">
        <f t="shared" si="14"/>
        <v>-0.00007205479452</v>
      </c>
      <c r="D732" s="8">
        <v>4682.85</v>
      </c>
      <c r="E732" s="8">
        <f t="shared" si="17"/>
        <v>0</v>
      </c>
      <c r="F732" s="53">
        <v>0.101268394</v>
      </c>
      <c r="G732" s="8">
        <f t="shared" si="16"/>
        <v>0.000002774476548</v>
      </c>
      <c r="H732" s="8">
        <f t="shared" si="11"/>
        <v>4682.85</v>
      </c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54">
        <f t="shared" si="12"/>
        <v>44514</v>
      </c>
      <c r="B733" s="8">
        <f t="shared" si="13"/>
        <v>277556468.9</v>
      </c>
      <c r="C733" s="8">
        <f t="shared" si="14"/>
        <v>-0.00007205479452</v>
      </c>
      <c r="D733" s="8">
        <v>4682.85</v>
      </c>
      <c r="E733" s="8">
        <f t="shared" si="17"/>
        <v>0</v>
      </c>
      <c r="F733" s="53">
        <v>0.104150112</v>
      </c>
      <c r="G733" s="8">
        <f t="shared" si="16"/>
        <v>0.000002853427726</v>
      </c>
      <c r="H733" s="8">
        <f t="shared" si="11"/>
        <v>4682.85</v>
      </c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54">
        <f t="shared" si="12"/>
        <v>44515</v>
      </c>
      <c r="B734" s="8">
        <f t="shared" si="13"/>
        <v>277536469.6</v>
      </c>
      <c r="C734" s="8">
        <f t="shared" si="14"/>
        <v>-0.00007205479452</v>
      </c>
      <c r="D734" s="8">
        <v>4682.8</v>
      </c>
      <c r="E734" s="8">
        <f t="shared" si="17"/>
        <v>-0.00001067725851</v>
      </c>
      <c r="F734" s="53">
        <v>0.117192124</v>
      </c>
      <c r="G734" s="8">
        <f t="shared" si="16"/>
        <v>0.000003210743123</v>
      </c>
      <c r="H734" s="8">
        <f t="shared" si="11"/>
        <v>4682.8</v>
      </c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54">
        <f t="shared" si="12"/>
        <v>44516</v>
      </c>
      <c r="B735" s="8">
        <f t="shared" si="13"/>
        <v>277516471.8</v>
      </c>
      <c r="C735" s="8">
        <f t="shared" si="14"/>
        <v>-0.00007205479452</v>
      </c>
      <c r="D735" s="8">
        <v>4700.9</v>
      </c>
      <c r="E735" s="8">
        <f t="shared" si="17"/>
        <v>0.003865208849</v>
      </c>
      <c r="F735" s="53">
        <v>0.099575391</v>
      </c>
      <c r="G735" s="8">
        <f t="shared" si="16"/>
        <v>0.000002728092904</v>
      </c>
      <c r="H735" s="8">
        <f t="shared" si="11"/>
        <v>4700.9</v>
      </c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54">
        <f t="shared" si="12"/>
        <v>44517</v>
      </c>
      <c r="B736" s="8">
        <f t="shared" si="13"/>
        <v>277496475.4</v>
      </c>
      <c r="C736" s="8">
        <f t="shared" si="14"/>
        <v>-0.00007205479452</v>
      </c>
      <c r="D736" s="8">
        <v>4688.67</v>
      </c>
      <c r="E736" s="8">
        <f t="shared" si="17"/>
        <v>-0.002601629475</v>
      </c>
      <c r="F736" s="53">
        <v>0.099742777</v>
      </c>
      <c r="G736" s="8">
        <f t="shared" si="16"/>
        <v>0.000002732678822</v>
      </c>
      <c r="H736" s="8">
        <f t="shared" si="11"/>
        <v>4688.67</v>
      </c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54">
        <f t="shared" si="12"/>
        <v>44518</v>
      </c>
      <c r="B737" s="8">
        <f t="shared" si="13"/>
        <v>277476480.4</v>
      </c>
      <c r="C737" s="8">
        <f t="shared" si="14"/>
        <v>-0.00007205479452</v>
      </c>
      <c r="D737" s="8">
        <v>4704.54</v>
      </c>
      <c r="E737" s="8">
        <f t="shared" si="17"/>
        <v>0.003384755165</v>
      </c>
      <c r="F737" s="53">
        <v>0.106282455</v>
      </c>
      <c r="G737" s="8">
        <f t="shared" si="16"/>
        <v>0.000002911848082</v>
      </c>
      <c r="H737" s="8">
        <f t="shared" si="11"/>
        <v>4704.54</v>
      </c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54">
        <f t="shared" si="12"/>
        <v>44519</v>
      </c>
      <c r="B738" s="8">
        <f t="shared" si="13"/>
        <v>277456486.9</v>
      </c>
      <c r="C738" s="8">
        <f t="shared" si="14"/>
        <v>-0.00007205479452</v>
      </c>
      <c r="D738" s="8">
        <v>4697.96</v>
      </c>
      <c r="E738" s="8">
        <f t="shared" si="17"/>
        <v>-0.001398648965</v>
      </c>
      <c r="F738" s="53">
        <v>0.100494129</v>
      </c>
      <c r="G738" s="8">
        <f t="shared" si="16"/>
        <v>0.000002753263808</v>
      </c>
      <c r="H738" s="8">
        <f t="shared" si="11"/>
        <v>4697.96</v>
      </c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54">
        <f t="shared" si="12"/>
        <v>44520</v>
      </c>
      <c r="B739" s="8">
        <f t="shared" si="13"/>
        <v>277436494.9</v>
      </c>
      <c r="C739" s="8">
        <f t="shared" si="14"/>
        <v>-0.00007205479452</v>
      </c>
      <c r="D739" s="8">
        <v>4697.96</v>
      </c>
      <c r="E739" s="8">
        <f t="shared" si="17"/>
        <v>0</v>
      </c>
      <c r="F739" s="53">
        <v>0.09844806</v>
      </c>
      <c r="G739" s="8">
        <f t="shared" si="16"/>
        <v>0.000002697207123</v>
      </c>
      <c r="H739" s="8">
        <f t="shared" si="11"/>
        <v>4697.96</v>
      </c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54">
        <f t="shared" si="12"/>
        <v>44521</v>
      </c>
      <c r="B740" s="8">
        <f t="shared" si="13"/>
        <v>277416504.2</v>
      </c>
      <c r="C740" s="8">
        <f t="shared" si="14"/>
        <v>-0.00007205479452</v>
      </c>
      <c r="D740" s="8">
        <v>4697.96</v>
      </c>
      <c r="E740" s="8">
        <f t="shared" si="17"/>
        <v>0</v>
      </c>
      <c r="F740" s="53">
        <v>0.092525111</v>
      </c>
      <c r="G740" s="8">
        <f t="shared" si="16"/>
        <v>0.000002534934548</v>
      </c>
      <c r="H740" s="8">
        <f t="shared" si="11"/>
        <v>4697.96</v>
      </c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54">
        <f t="shared" si="12"/>
        <v>44522</v>
      </c>
      <c r="B741" s="8">
        <f t="shared" si="13"/>
        <v>277396515</v>
      </c>
      <c r="C741" s="8">
        <f t="shared" si="14"/>
        <v>-0.00007205479452</v>
      </c>
      <c r="D741" s="8">
        <v>4682.94</v>
      </c>
      <c r="E741" s="8">
        <f t="shared" si="17"/>
        <v>-0.003197132372</v>
      </c>
      <c r="F741" s="53">
        <v>0.093965713</v>
      </c>
      <c r="G741" s="8">
        <f t="shared" si="16"/>
        <v>0.000002574403096</v>
      </c>
      <c r="H741" s="8">
        <f t="shared" si="11"/>
        <v>4682.94</v>
      </c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54">
        <f t="shared" si="12"/>
        <v>44523</v>
      </c>
      <c r="B742" s="8">
        <f t="shared" si="13"/>
        <v>277376527.3</v>
      </c>
      <c r="C742" s="8">
        <f t="shared" si="14"/>
        <v>-0.00007205479452</v>
      </c>
      <c r="D742" s="8">
        <v>4690.7</v>
      </c>
      <c r="E742" s="8">
        <f t="shared" si="17"/>
        <v>0.001657078673</v>
      </c>
      <c r="F742" s="53">
        <v>0.091646722</v>
      </c>
      <c r="G742" s="8">
        <f t="shared" si="16"/>
        <v>0.000002510869096</v>
      </c>
      <c r="H742" s="8">
        <f t="shared" si="11"/>
        <v>4690.7</v>
      </c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54">
        <f t="shared" si="12"/>
        <v>44524</v>
      </c>
      <c r="B743" s="8">
        <f t="shared" si="13"/>
        <v>277356541</v>
      </c>
      <c r="C743" s="8">
        <f t="shared" si="14"/>
        <v>-0.00007205479452</v>
      </c>
      <c r="D743" s="8">
        <v>4701.46</v>
      </c>
      <c r="E743" s="8">
        <f t="shared" si="17"/>
        <v>0.002293900697</v>
      </c>
      <c r="F743" s="53">
        <v>0.121265954</v>
      </c>
      <c r="G743" s="8">
        <f t="shared" si="16"/>
        <v>0.000003322354904</v>
      </c>
      <c r="H743" s="8">
        <f t="shared" si="11"/>
        <v>4701.46</v>
      </c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54">
        <f t="shared" si="12"/>
        <v>44525</v>
      </c>
      <c r="B744" s="8">
        <f t="shared" si="13"/>
        <v>277336556.1</v>
      </c>
      <c r="C744" s="8">
        <f t="shared" si="14"/>
        <v>-0.00007205479452</v>
      </c>
      <c r="D744" s="8">
        <v>4701.46</v>
      </c>
      <c r="E744" s="8">
        <f t="shared" si="17"/>
        <v>0</v>
      </c>
      <c r="F744" s="53">
        <v>0.09474787</v>
      </c>
      <c r="G744" s="8">
        <f t="shared" si="16"/>
        <v>0.000002595832055</v>
      </c>
      <c r="H744" s="8">
        <f t="shared" si="11"/>
        <v>4701.46</v>
      </c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54">
        <f t="shared" si="12"/>
        <v>44526</v>
      </c>
      <c r="B745" s="8">
        <f t="shared" si="13"/>
        <v>277316572.7</v>
      </c>
      <c r="C745" s="8">
        <f t="shared" si="14"/>
        <v>-0.00007205479452</v>
      </c>
      <c r="D745" s="8">
        <v>4594.62</v>
      </c>
      <c r="E745" s="8">
        <f t="shared" si="17"/>
        <v>-0.02272485568</v>
      </c>
      <c r="F745" s="53">
        <v>0.082594813</v>
      </c>
      <c r="G745" s="8">
        <f t="shared" si="16"/>
        <v>0.000002262871589</v>
      </c>
      <c r="H745" s="8">
        <f t="shared" si="11"/>
        <v>4594.62</v>
      </c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54">
        <f t="shared" si="12"/>
        <v>44527</v>
      </c>
      <c r="B746" s="8">
        <f t="shared" si="13"/>
        <v>277296590.7</v>
      </c>
      <c r="C746" s="8">
        <f t="shared" si="14"/>
        <v>-0.00007205479452</v>
      </c>
      <c r="D746" s="8">
        <v>4594.62</v>
      </c>
      <c r="E746" s="8">
        <f t="shared" si="17"/>
        <v>0</v>
      </c>
      <c r="F746" s="53">
        <v>0.087789969</v>
      </c>
      <c r="G746" s="8">
        <f t="shared" si="16"/>
        <v>0.00000240520463</v>
      </c>
      <c r="H746" s="8">
        <f t="shared" si="11"/>
        <v>4594.62</v>
      </c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54">
        <f t="shared" si="12"/>
        <v>44528</v>
      </c>
      <c r="B747" s="8">
        <f t="shared" si="13"/>
        <v>277276610.2</v>
      </c>
      <c r="C747" s="8">
        <f t="shared" si="14"/>
        <v>-0.00007205479452</v>
      </c>
      <c r="D747" s="8">
        <v>4594.62</v>
      </c>
      <c r="E747" s="8">
        <f t="shared" si="17"/>
        <v>0</v>
      </c>
      <c r="F747" s="53">
        <v>0.074225512</v>
      </c>
      <c r="G747" s="8">
        <f t="shared" si="16"/>
        <v>0.000002033575671</v>
      </c>
      <c r="H747" s="8">
        <f t="shared" si="11"/>
        <v>4594.62</v>
      </c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54">
        <f t="shared" si="12"/>
        <v>44529</v>
      </c>
      <c r="B748" s="8">
        <f t="shared" si="13"/>
        <v>277256631</v>
      </c>
      <c r="C748" s="8">
        <f t="shared" si="14"/>
        <v>-0.00007205479452</v>
      </c>
      <c r="D748" s="8">
        <v>4655.27</v>
      </c>
      <c r="E748" s="8">
        <f t="shared" si="17"/>
        <v>0.01320022113</v>
      </c>
      <c r="F748" s="53">
        <v>0.114149195</v>
      </c>
      <c r="G748" s="8">
        <f t="shared" si="16"/>
        <v>0.000003127375205</v>
      </c>
      <c r="H748" s="8">
        <f t="shared" si="11"/>
        <v>4655.27</v>
      </c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54">
        <f t="shared" si="12"/>
        <v>44530</v>
      </c>
      <c r="B749" s="8">
        <f t="shared" si="13"/>
        <v>277236653.4</v>
      </c>
      <c r="C749" s="8">
        <f t="shared" si="14"/>
        <v>-0.00007205479452</v>
      </c>
      <c r="D749" s="8">
        <v>4567.0</v>
      </c>
      <c r="E749" s="8">
        <f t="shared" si="17"/>
        <v>-0.01896130622</v>
      </c>
      <c r="F749" s="53">
        <v>0.089789564</v>
      </c>
      <c r="G749" s="8">
        <f t="shared" si="16"/>
        <v>0.000002459988055</v>
      </c>
      <c r="H749" s="8">
        <f t="shared" si="11"/>
        <v>4567</v>
      </c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54">
        <f t="shared" si="12"/>
        <v>44531</v>
      </c>
      <c r="B750" s="8">
        <f t="shared" si="13"/>
        <v>277216677.1</v>
      </c>
      <c r="C750" s="8">
        <f t="shared" si="14"/>
        <v>-0.00007205479452</v>
      </c>
      <c r="D750" s="8">
        <v>4513.04</v>
      </c>
      <c r="E750" s="8">
        <f t="shared" si="17"/>
        <v>-0.01181519597</v>
      </c>
      <c r="F750" s="53">
        <v>0.110259424</v>
      </c>
      <c r="G750" s="8">
        <f t="shared" si="16"/>
        <v>0.000003020806137</v>
      </c>
      <c r="H750" s="8">
        <f t="shared" si="11"/>
        <v>4513.04</v>
      </c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54">
        <f t="shared" si="12"/>
        <v>44532</v>
      </c>
      <c r="B751" s="8">
        <f t="shared" si="13"/>
        <v>277196702.4</v>
      </c>
      <c r="C751" s="8">
        <f t="shared" si="14"/>
        <v>-0.00007205479452</v>
      </c>
      <c r="D751" s="8">
        <v>4577.1</v>
      </c>
      <c r="E751" s="8">
        <f t="shared" si="17"/>
        <v>0.01419442327</v>
      </c>
      <c r="F751" s="53">
        <v>0.114026608</v>
      </c>
      <c r="G751" s="8">
        <f t="shared" si="16"/>
        <v>0.000003124016658</v>
      </c>
      <c r="H751" s="8">
        <f t="shared" si="11"/>
        <v>4577.1</v>
      </c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54">
        <f t="shared" si="12"/>
        <v>44533</v>
      </c>
      <c r="B752" s="8">
        <f t="shared" si="13"/>
        <v>277176729</v>
      </c>
      <c r="C752" s="8">
        <f t="shared" si="14"/>
        <v>-0.00007205479452</v>
      </c>
      <c r="D752" s="8">
        <v>4538.43</v>
      </c>
      <c r="E752" s="8">
        <f t="shared" si="17"/>
        <v>-0.008448580979</v>
      </c>
      <c r="F752" s="53">
        <v>0.093182889</v>
      </c>
      <c r="G752" s="8">
        <f t="shared" si="16"/>
        <v>0.000002552955863</v>
      </c>
      <c r="H752" s="8">
        <f t="shared" si="11"/>
        <v>4538.43</v>
      </c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54">
        <f t="shared" si="12"/>
        <v>44534</v>
      </c>
      <c r="B753" s="8">
        <f t="shared" si="13"/>
        <v>277156757.1</v>
      </c>
      <c r="C753" s="8">
        <f t="shared" si="14"/>
        <v>-0.00007205479452</v>
      </c>
      <c r="D753" s="8">
        <v>4538.43</v>
      </c>
      <c r="E753" s="8">
        <f t="shared" si="17"/>
        <v>0</v>
      </c>
      <c r="F753" s="53">
        <v>0.100167968</v>
      </c>
      <c r="G753" s="8">
        <f t="shared" si="16"/>
        <v>0.00000274432789</v>
      </c>
      <c r="H753" s="8">
        <f t="shared" si="11"/>
        <v>4538.43</v>
      </c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54">
        <f t="shared" si="12"/>
        <v>44535</v>
      </c>
      <c r="B754" s="8">
        <f t="shared" si="13"/>
        <v>277136786.6</v>
      </c>
      <c r="C754" s="8">
        <f t="shared" si="14"/>
        <v>-0.00007205479452</v>
      </c>
      <c r="D754" s="8">
        <v>4538.43</v>
      </c>
      <c r="E754" s="8">
        <f t="shared" si="17"/>
        <v>0</v>
      </c>
      <c r="F754" s="53">
        <v>0.098849114</v>
      </c>
      <c r="G754" s="8">
        <f t="shared" si="16"/>
        <v>0.000002708194904</v>
      </c>
      <c r="H754" s="8">
        <f t="shared" si="11"/>
        <v>4538.43</v>
      </c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54">
        <f t="shared" si="12"/>
        <v>44536</v>
      </c>
      <c r="B755" s="8">
        <f t="shared" si="13"/>
        <v>277116817.6</v>
      </c>
      <c r="C755" s="8">
        <f t="shared" si="14"/>
        <v>-0.00007205479452</v>
      </c>
      <c r="D755" s="8">
        <v>4591.67</v>
      </c>
      <c r="E755" s="8">
        <f t="shared" si="17"/>
        <v>0.01173092898</v>
      </c>
      <c r="F755" s="53">
        <v>0.106568288</v>
      </c>
      <c r="G755" s="8">
        <f t="shared" si="16"/>
        <v>0.000002919679123</v>
      </c>
      <c r="H755" s="8">
        <f t="shared" si="11"/>
        <v>4591.67</v>
      </c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54">
        <f t="shared" si="12"/>
        <v>44537</v>
      </c>
      <c r="B756" s="8">
        <f t="shared" si="13"/>
        <v>277096850</v>
      </c>
      <c r="C756" s="8">
        <f t="shared" si="14"/>
        <v>-0.00007205479452</v>
      </c>
      <c r="D756" s="8">
        <v>4686.75</v>
      </c>
      <c r="E756" s="8">
        <f t="shared" si="17"/>
        <v>0.02070706301</v>
      </c>
      <c r="F756" s="53">
        <v>0.114111497</v>
      </c>
      <c r="G756" s="8">
        <f t="shared" si="16"/>
        <v>0.000003126342384</v>
      </c>
      <c r="H756" s="8">
        <f t="shared" si="11"/>
        <v>4686.75</v>
      </c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54">
        <f t="shared" si="12"/>
        <v>44538</v>
      </c>
      <c r="B757" s="8">
        <f t="shared" si="13"/>
        <v>277076883.8</v>
      </c>
      <c r="C757" s="8">
        <f t="shared" si="14"/>
        <v>-0.00007205479452</v>
      </c>
      <c r="D757" s="8">
        <v>4701.21</v>
      </c>
      <c r="E757" s="8">
        <f t="shared" si="17"/>
        <v>0.003085293647</v>
      </c>
      <c r="F757" s="53">
        <v>0.107935939</v>
      </c>
      <c r="G757" s="8">
        <f t="shared" si="16"/>
        <v>0.000002957149014</v>
      </c>
      <c r="H757" s="8">
        <f t="shared" si="11"/>
        <v>4701.21</v>
      </c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54">
        <f t="shared" si="12"/>
        <v>44539</v>
      </c>
      <c r="B758" s="8">
        <f t="shared" si="13"/>
        <v>277056919.1</v>
      </c>
      <c r="C758" s="8">
        <f t="shared" si="14"/>
        <v>-0.00007205479452</v>
      </c>
      <c r="D758" s="8">
        <v>4667.45</v>
      </c>
      <c r="E758" s="8">
        <f t="shared" si="17"/>
        <v>-0.007181129964</v>
      </c>
      <c r="F758" s="53">
        <v>0.0994765</v>
      </c>
      <c r="G758" s="8">
        <f t="shared" si="16"/>
        <v>0.000002725383562</v>
      </c>
      <c r="H758" s="8">
        <f t="shared" si="11"/>
        <v>4667.45</v>
      </c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54">
        <f t="shared" si="12"/>
        <v>44540</v>
      </c>
      <c r="B759" s="8">
        <f t="shared" si="13"/>
        <v>277036955.8</v>
      </c>
      <c r="C759" s="8">
        <f t="shared" si="14"/>
        <v>-0.00007205479452</v>
      </c>
      <c r="D759" s="8">
        <v>4712.02</v>
      </c>
      <c r="E759" s="8">
        <f t="shared" si="17"/>
        <v>0.009549111399</v>
      </c>
      <c r="F759" s="53">
        <v>0.094166829</v>
      </c>
      <c r="G759" s="8">
        <f t="shared" si="16"/>
        <v>0.000002579913123</v>
      </c>
      <c r="H759" s="8">
        <f t="shared" si="11"/>
        <v>4712.02</v>
      </c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54">
        <f t="shared" si="12"/>
        <v>44541</v>
      </c>
      <c r="B760" s="8">
        <f t="shared" si="13"/>
        <v>277016994</v>
      </c>
      <c r="C760" s="8">
        <f t="shared" si="14"/>
        <v>-0.00007205479452</v>
      </c>
      <c r="D760" s="8">
        <v>4712.02</v>
      </c>
      <c r="E760" s="8">
        <f t="shared" si="17"/>
        <v>0</v>
      </c>
      <c r="F760" s="53">
        <v>0.101079249</v>
      </c>
      <c r="G760" s="8">
        <f t="shared" si="16"/>
        <v>0.000002769294493</v>
      </c>
      <c r="H760" s="8">
        <f t="shared" si="11"/>
        <v>4712.02</v>
      </c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54">
        <f t="shared" si="12"/>
        <v>44542</v>
      </c>
      <c r="B761" s="8">
        <f t="shared" si="13"/>
        <v>276997033.6</v>
      </c>
      <c r="C761" s="8">
        <f t="shared" si="14"/>
        <v>-0.00007205479452</v>
      </c>
      <c r="D761" s="8">
        <v>4712.02</v>
      </c>
      <c r="E761" s="8">
        <f t="shared" si="17"/>
        <v>0</v>
      </c>
      <c r="F761" s="53">
        <v>0.098485486</v>
      </c>
      <c r="G761" s="8">
        <f t="shared" si="16"/>
        <v>0.000002698232493</v>
      </c>
      <c r="H761" s="8">
        <f t="shared" si="11"/>
        <v>4712.02</v>
      </c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54">
        <f t="shared" si="12"/>
        <v>44543</v>
      </c>
      <c r="B762" s="8">
        <f t="shared" si="13"/>
        <v>276977074.6</v>
      </c>
      <c r="C762" s="8">
        <f t="shared" si="14"/>
        <v>-0.00007205479452</v>
      </c>
      <c r="D762" s="8">
        <v>4668.97</v>
      </c>
      <c r="E762" s="8">
        <f t="shared" si="17"/>
        <v>-0.009136209099</v>
      </c>
      <c r="F762" s="53">
        <v>0.088404504</v>
      </c>
      <c r="G762" s="8">
        <f t="shared" si="16"/>
        <v>0.000002422041205</v>
      </c>
      <c r="H762" s="8">
        <f t="shared" si="11"/>
        <v>4668.97</v>
      </c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54">
        <f t="shared" si="12"/>
        <v>44544</v>
      </c>
      <c r="B763" s="8">
        <f t="shared" si="13"/>
        <v>276957117.1</v>
      </c>
      <c r="C763" s="8">
        <f t="shared" si="14"/>
        <v>-0.00007205479452</v>
      </c>
      <c r="D763" s="8">
        <v>4634.09</v>
      </c>
      <c r="E763" s="8">
        <f t="shared" si="17"/>
        <v>-0.00747059844</v>
      </c>
      <c r="F763" s="53">
        <v>0.095205548</v>
      </c>
      <c r="G763" s="8">
        <f t="shared" si="16"/>
        <v>0.000002608371178</v>
      </c>
      <c r="H763" s="8">
        <f t="shared" si="11"/>
        <v>4634.09</v>
      </c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54">
        <f t="shared" si="12"/>
        <v>44545</v>
      </c>
      <c r="B764" s="8">
        <f t="shared" si="13"/>
        <v>276937161</v>
      </c>
      <c r="C764" s="8">
        <f t="shared" si="14"/>
        <v>-0.00007205479452</v>
      </c>
      <c r="D764" s="8">
        <v>4709.85</v>
      </c>
      <c r="E764" s="8">
        <f t="shared" si="17"/>
        <v>0.01634840929</v>
      </c>
      <c r="F764" s="53">
        <v>0.099943718</v>
      </c>
      <c r="G764" s="8">
        <f t="shared" si="16"/>
        <v>0.000002738184055</v>
      </c>
      <c r="H764" s="8">
        <f t="shared" si="11"/>
        <v>4709.85</v>
      </c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54">
        <f t="shared" si="12"/>
        <v>44546</v>
      </c>
      <c r="B765" s="8">
        <f t="shared" si="13"/>
        <v>276917206.4</v>
      </c>
      <c r="C765" s="8">
        <f t="shared" si="14"/>
        <v>-0.00007205479452</v>
      </c>
      <c r="D765" s="8">
        <v>4668.67</v>
      </c>
      <c r="E765" s="8">
        <f t="shared" si="17"/>
        <v>-0.008743378239</v>
      </c>
      <c r="F765" s="53">
        <v>0.081304344</v>
      </c>
      <c r="G765" s="8">
        <f t="shared" si="16"/>
        <v>0.000002227516274</v>
      </c>
      <c r="H765" s="8">
        <f t="shared" si="11"/>
        <v>4668.67</v>
      </c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54">
        <f t="shared" si="12"/>
        <v>44547</v>
      </c>
      <c r="B766" s="8">
        <f t="shared" si="13"/>
        <v>276897253.1</v>
      </c>
      <c r="C766" s="8">
        <f t="shared" si="14"/>
        <v>-0.00007205479452</v>
      </c>
      <c r="D766" s="8">
        <v>4620.64</v>
      </c>
      <c r="E766" s="8">
        <f t="shared" si="17"/>
        <v>-0.01028772648</v>
      </c>
      <c r="F766" s="53">
        <v>0.107563635</v>
      </c>
      <c r="G766" s="8">
        <f t="shared" si="16"/>
        <v>0.000002946948904</v>
      </c>
      <c r="H766" s="8">
        <f t="shared" si="11"/>
        <v>4620.64</v>
      </c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54">
        <f t="shared" si="12"/>
        <v>44548</v>
      </c>
      <c r="B767" s="8">
        <f t="shared" si="13"/>
        <v>276877301.4</v>
      </c>
      <c r="C767" s="8">
        <f t="shared" si="14"/>
        <v>-0.00007205479452</v>
      </c>
      <c r="D767" s="8">
        <v>4620.64</v>
      </c>
      <c r="E767" s="8">
        <f t="shared" si="17"/>
        <v>0</v>
      </c>
      <c r="F767" s="53">
        <v>0.103795799</v>
      </c>
      <c r="G767" s="8">
        <f t="shared" si="16"/>
        <v>0.000002843720521</v>
      </c>
      <c r="H767" s="8">
        <f t="shared" si="11"/>
        <v>4620.64</v>
      </c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54">
        <f t="shared" si="12"/>
        <v>44549</v>
      </c>
      <c r="B768" s="8">
        <f t="shared" si="13"/>
        <v>276857351</v>
      </c>
      <c r="C768" s="8">
        <f t="shared" si="14"/>
        <v>-0.00007205479452</v>
      </c>
      <c r="D768" s="8">
        <v>4620.64</v>
      </c>
      <c r="E768" s="8">
        <f t="shared" si="17"/>
        <v>0</v>
      </c>
      <c r="F768" s="53">
        <v>0.097395711</v>
      </c>
      <c r="G768" s="8">
        <f t="shared" si="16"/>
        <v>0.000002668375644</v>
      </c>
      <c r="H768" s="8">
        <f t="shared" si="11"/>
        <v>4620.64</v>
      </c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54">
        <f t="shared" si="12"/>
        <v>44550</v>
      </c>
      <c r="B769" s="8">
        <f t="shared" si="13"/>
        <v>276837402.1</v>
      </c>
      <c r="C769" s="8">
        <f t="shared" si="14"/>
        <v>-0.00007205479452</v>
      </c>
      <c r="D769" s="8">
        <v>4568.02</v>
      </c>
      <c r="E769" s="8">
        <f t="shared" si="17"/>
        <v>-0.01138803283</v>
      </c>
      <c r="F769" s="53">
        <v>0.105437492</v>
      </c>
      <c r="G769" s="8">
        <f t="shared" si="16"/>
        <v>0.000002888698411</v>
      </c>
      <c r="H769" s="8">
        <f t="shared" si="11"/>
        <v>4568.02</v>
      </c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54">
        <f t="shared" si="12"/>
        <v>44551</v>
      </c>
      <c r="B770" s="8">
        <f t="shared" si="13"/>
        <v>276817454.7</v>
      </c>
      <c r="C770" s="8">
        <f t="shared" si="14"/>
        <v>-0.00007205479452</v>
      </c>
      <c r="D770" s="8">
        <v>4649.23</v>
      </c>
      <c r="E770" s="8">
        <f t="shared" si="17"/>
        <v>0.01777794318</v>
      </c>
      <c r="F770" s="53">
        <v>0.107966478</v>
      </c>
      <c r="G770" s="8">
        <f t="shared" si="16"/>
        <v>0.000002957985699</v>
      </c>
      <c r="H770" s="8">
        <f t="shared" si="11"/>
        <v>4649.23</v>
      </c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54">
        <f t="shared" si="12"/>
        <v>44552</v>
      </c>
      <c r="B771" s="8">
        <f t="shared" si="13"/>
        <v>276797508.6</v>
      </c>
      <c r="C771" s="8">
        <f t="shared" si="14"/>
        <v>-0.00007205479452</v>
      </c>
      <c r="D771" s="8">
        <v>4696.56</v>
      </c>
      <c r="E771" s="8">
        <f t="shared" si="17"/>
        <v>0.01018018037</v>
      </c>
      <c r="F771" s="53">
        <v>0.090223561</v>
      </c>
      <c r="G771" s="8">
        <f t="shared" si="16"/>
        <v>0.000002471878384</v>
      </c>
      <c r="H771" s="8">
        <f t="shared" si="11"/>
        <v>4696.56</v>
      </c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54">
        <f t="shared" si="12"/>
        <v>44553</v>
      </c>
      <c r="B772" s="8">
        <f t="shared" si="13"/>
        <v>276777564.1</v>
      </c>
      <c r="C772" s="8">
        <f t="shared" si="14"/>
        <v>-0.00007205479452</v>
      </c>
      <c r="D772" s="8">
        <v>4725.79</v>
      </c>
      <c r="E772" s="8">
        <f t="shared" si="17"/>
        <v>0.006223704158</v>
      </c>
      <c r="F772" s="53">
        <v>0.112558833</v>
      </c>
      <c r="G772" s="8">
        <f t="shared" si="16"/>
        <v>0.000003083803644</v>
      </c>
      <c r="H772" s="8">
        <f t="shared" si="11"/>
        <v>4725.79</v>
      </c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54">
        <f t="shared" si="12"/>
        <v>44554</v>
      </c>
      <c r="B773" s="8">
        <f t="shared" si="13"/>
        <v>276757620.9</v>
      </c>
      <c r="C773" s="8">
        <f t="shared" si="14"/>
        <v>-0.00007205479452</v>
      </c>
      <c r="D773" s="8">
        <v>4725.79</v>
      </c>
      <c r="E773" s="8">
        <f t="shared" si="17"/>
        <v>0</v>
      </c>
      <c r="F773" s="53">
        <v>0.109816634</v>
      </c>
      <c r="G773" s="8">
        <f t="shared" si="16"/>
        <v>0.000003008674904</v>
      </c>
      <c r="H773" s="8">
        <f t="shared" si="11"/>
        <v>4725.79</v>
      </c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54">
        <f t="shared" si="12"/>
        <v>44555</v>
      </c>
      <c r="B774" s="8">
        <f t="shared" si="13"/>
        <v>276737679.2</v>
      </c>
      <c r="C774" s="8">
        <f t="shared" si="14"/>
        <v>-0.00007205479452</v>
      </c>
      <c r="D774" s="8">
        <v>4725.79</v>
      </c>
      <c r="E774" s="8">
        <f t="shared" si="17"/>
        <v>0</v>
      </c>
      <c r="F774" s="53">
        <v>0.082228125</v>
      </c>
      <c r="G774" s="8">
        <f t="shared" si="16"/>
        <v>0.000002252825342</v>
      </c>
      <c r="H774" s="8">
        <f t="shared" si="11"/>
        <v>4725.79</v>
      </c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54">
        <f t="shared" si="12"/>
        <v>44556</v>
      </c>
      <c r="B775" s="8">
        <f t="shared" si="13"/>
        <v>276717738.9</v>
      </c>
      <c r="C775" s="8">
        <f t="shared" si="14"/>
        <v>-0.00007205479452</v>
      </c>
      <c r="D775" s="8">
        <v>4725.79</v>
      </c>
      <c r="E775" s="8">
        <f t="shared" si="17"/>
        <v>0</v>
      </c>
      <c r="F775" s="53">
        <v>0.092149158</v>
      </c>
      <c r="G775" s="8">
        <f t="shared" si="16"/>
        <v>0.000002524634466</v>
      </c>
      <c r="H775" s="8">
        <f t="shared" si="11"/>
        <v>4725.79</v>
      </c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54">
        <f t="shared" si="12"/>
        <v>44557</v>
      </c>
      <c r="B776" s="8">
        <f t="shared" si="13"/>
        <v>276697800.1</v>
      </c>
      <c r="C776" s="8">
        <f t="shared" si="14"/>
        <v>-0.00007205479452</v>
      </c>
      <c r="D776" s="8">
        <v>4791.19</v>
      </c>
      <c r="E776" s="8">
        <f t="shared" si="17"/>
        <v>0.01383895603</v>
      </c>
      <c r="F776" s="53">
        <v>0.098706056</v>
      </c>
      <c r="G776" s="8">
        <f t="shared" si="16"/>
        <v>0.000002704275507</v>
      </c>
      <c r="H776" s="8">
        <f t="shared" si="11"/>
        <v>4791.19</v>
      </c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54">
        <f t="shared" si="12"/>
        <v>44558</v>
      </c>
      <c r="B777" s="8">
        <f t="shared" si="13"/>
        <v>276677862.7</v>
      </c>
      <c r="C777" s="8">
        <f t="shared" si="14"/>
        <v>-0.00007205479452</v>
      </c>
      <c r="D777" s="8">
        <v>4786.35</v>
      </c>
      <c r="E777" s="8">
        <f t="shared" si="17"/>
        <v>-0.001010187448</v>
      </c>
      <c r="F777" s="53">
        <v>0.113876387</v>
      </c>
      <c r="G777" s="8">
        <f t="shared" si="16"/>
        <v>0.000003119901014</v>
      </c>
      <c r="H777" s="8">
        <f t="shared" si="11"/>
        <v>4786.35</v>
      </c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54">
        <f t="shared" si="12"/>
        <v>44559</v>
      </c>
      <c r="B778" s="8">
        <f t="shared" si="13"/>
        <v>276657926.7</v>
      </c>
      <c r="C778" s="8">
        <f t="shared" si="14"/>
        <v>-0.00007205479452</v>
      </c>
      <c r="D778" s="8">
        <v>4793.06</v>
      </c>
      <c r="E778" s="8">
        <f t="shared" si="17"/>
        <v>0.001401903329</v>
      </c>
      <c r="F778" s="53">
        <v>0.118825918</v>
      </c>
      <c r="G778" s="8">
        <f t="shared" si="16"/>
        <v>0.000003255504603</v>
      </c>
      <c r="H778" s="8">
        <f t="shared" si="11"/>
        <v>4793.06</v>
      </c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54">
        <f t="shared" si="12"/>
        <v>44560</v>
      </c>
      <c r="B779" s="8">
        <f t="shared" si="13"/>
        <v>276637992.2</v>
      </c>
      <c r="C779" s="8">
        <f t="shared" si="14"/>
        <v>-0.00007205479452</v>
      </c>
      <c r="D779" s="8">
        <v>4778.73</v>
      </c>
      <c r="E779" s="8">
        <f t="shared" si="17"/>
        <v>-0.002989739331</v>
      </c>
      <c r="F779" s="53">
        <v>0.09955982</v>
      </c>
      <c r="G779" s="8">
        <f t="shared" si="16"/>
        <v>0.000002727666301</v>
      </c>
      <c r="H779" s="8">
        <f t="shared" si="11"/>
        <v>4778.73</v>
      </c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54">
        <f t="shared" si="12"/>
        <v>44561</v>
      </c>
      <c r="B780" s="8">
        <f t="shared" si="13"/>
        <v>276618059.1</v>
      </c>
      <c r="C780" s="8">
        <f t="shared" si="14"/>
        <v>-0.00007205479452</v>
      </c>
      <c r="D780" s="8">
        <v>4766.18</v>
      </c>
      <c r="E780" s="8">
        <f t="shared" si="17"/>
        <v>-0.002626220774</v>
      </c>
      <c r="F780" s="53">
        <v>0.088171747</v>
      </c>
      <c r="G780" s="8">
        <f t="shared" si="16"/>
        <v>0.000002415664301</v>
      </c>
      <c r="H780" s="8">
        <f t="shared" si="11"/>
        <v>4766.18</v>
      </c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54">
        <f t="shared" si="12"/>
        <v>44562</v>
      </c>
      <c r="B781" s="8">
        <f t="shared" si="13"/>
        <v>276776224</v>
      </c>
      <c r="C781" s="8">
        <f t="shared" si="14"/>
        <v>0.0005717808219</v>
      </c>
      <c r="D781" s="8">
        <v>4766.18</v>
      </c>
      <c r="E781" s="8">
        <f t="shared" si="17"/>
        <v>0</v>
      </c>
      <c r="F781" s="53">
        <v>0.151083742</v>
      </c>
      <c r="G781" s="8">
        <f t="shared" si="16"/>
        <v>0.000004139280603</v>
      </c>
      <c r="H781" s="8">
        <f t="shared" si="11"/>
        <v>4766.18</v>
      </c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54">
        <f t="shared" si="12"/>
        <v>44563</v>
      </c>
      <c r="B782" s="8">
        <f t="shared" si="13"/>
        <v>276934479.3</v>
      </c>
      <c r="C782" s="8">
        <f t="shared" si="14"/>
        <v>0.0005717808219</v>
      </c>
      <c r="D782" s="8">
        <v>4766.18</v>
      </c>
      <c r="E782" s="8">
        <f t="shared" si="17"/>
        <v>0</v>
      </c>
      <c r="F782" s="53">
        <v>0.087032666</v>
      </c>
      <c r="G782" s="8">
        <f t="shared" si="16"/>
        <v>0.000002384456603</v>
      </c>
      <c r="H782" s="8">
        <f t="shared" si="11"/>
        <v>4766.18</v>
      </c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54">
        <f t="shared" si="12"/>
        <v>44564</v>
      </c>
      <c r="B783" s="8">
        <f t="shared" si="13"/>
        <v>277092825.2</v>
      </c>
      <c r="C783" s="8">
        <f t="shared" si="14"/>
        <v>0.0005717808219</v>
      </c>
      <c r="D783" s="8">
        <v>4796.56</v>
      </c>
      <c r="E783" s="8">
        <f t="shared" si="17"/>
        <v>0.006374077353</v>
      </c>
      <c r="F783" s="53">
        <v>0.193603697</v>
      </c>
      <c r="G783" s="8">
        <f t="shared" si="16"/>
        <v>0.000005304210877</v>
      </c>
      <c r="H783" s="8">
        <f t="shared" si="11"/>
        <v>4796.56</v>
      </c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54">
        <f t="shared" si="12"/>
        <v>44565</v>
      </c>
      <c r="B784" s="8">
        <f t="shared" si="13"/>
        <v>277251261.5</v>
      </c>
      <c r="C784" s="8">
        <f t="shared" si="14"/>
        <v>0.0005717808219</v>
      </c>
      <c r="D784" s="8">
        <v>4793.54</v>
      </c>
      <c r="E784" s="8">
        <f t="shared" si="17"/>
        <v>-0.0006296178928</v>
      </c>
      <c r="F784" s="53">
        <v>0.205414241</v>
      </c>
      <c r="G784" s="8">
        <f t="shared" si="16"/>
        <v>0.000005627787425</v>
      </c>
      <c r="H784" s="8">
        <f t="shared" si="11"/>
        <v>4793.54</v>
      </c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54">
        <f t="shared" si="12"/>
        <v>44566</v>
      </c>
      <c r="B785" s="8">
        <f t="shared" si="13"/>
        <v>277409788.5</v>
      </c>
      <c r="C785" s="8">
        <f t="shared" si="14"/>
        <v>0.0005717808219</v>
      </c>
      <c r="D785" s="8">
        <v>4700.58</v>
      </c>
      <c r="E785" s="8">
        <f t="shared" si="17"/>
        <v>-0.0193927661</v>
      </c>
      <c r="F785" s="53">
        <v>0.155353039</v>
      </c>
      <c r="G785" s="8">
        <f t="shared" si="16"/>
        <v>0.000004256247644</v>
      </c>
      <c r="H785" s="8">
        <f t="shared" si="11"/>
        <v>4700.58</v>
      </c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54">
        <f t="shared" si="12"/>
        <v>44567</v>
      </c>
      <c r="B786" s="8">
        <f t="shared" si="13"/>
        <v>277568406.1</v>
      </c>
      <c r="C786" s="8">
        <f t="shared" si="14"/>
        <v>0.0005717808219</v>
      </c>
      <c r="D786" s="8">
        <v>4696.05</v>
      </c>
      <c r="E786" s="8">
        <f t="shared" si="17"/>
        <v>-0.0009637108612</v>
      </c>
      <c r="F786" s="53">
        <v>0.132544422</v>
      </c>
      <c r="G786" s="8">
        <f t="shared" si="16"/>
        <v>0.000003631354027</v>
      </c>
      <c r="H786" s="8">
        <f t="shared" si="11"/>
        <v>4696.05</v>
      </c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54">
        <f t="shared" si="12"/>
        <v>44568</v>
      </c>
      <c r="B787" s="8">
        <f t="shared" si="13"/>
        <v>277727114.4</v>
      </c>
      <c r="C787" s="8">
        <f t="shared" si="14"/>
        <v>0.0005717808219</v>
      </c>
      <c r="D787" s="8">
        <v>4677.03</v>
      </c>
      <c r="E787" s="8">
        <f t="shared" si="17"/>
        <v>-0.004050212413</v>
      </c>
      <c r="F787" s="53">
        <v>0.241127091</v>
      </c>
      <c r="G787" s="8">
        <f t="shared" si="16"/>
        <v>0.000006606221671</v>
      </c>
      <c r="H787" s="8">
        <f t="shared" si="11"/>
        <v>4677.03</v>
      </c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54">
        <f t="shared" si="12"/>
        <v>44569</v>
      </c>
      <c r="B788" s="8">
        <f t="shared" si="13"/>
        <v>277885913.4</v>
      </c>
      <c r="C788" s="8">
        <f t="shared" si="14"/>
        <v>0.0005717808219</v>
      </c>
      <c r="D788" s="8">
        <v>4677.03</v>
      </c>
      <c r="E788" s="8">
        <f t="shared" si="17"/>
        <v>0</v>
      </c>
      <c r="F788" s="53">
        <v>0.132675885</v>
      </c>
      <c r="G788" s="8">
        <f t="shared" si="16"/>
        <v>0.000003634955753</v>
      </c>
      <c r="H788" s="8">
        <f t="shared" si="11"/>
        <v>4677.03</v>
      </c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54">
        <f t="shared" si="12"/>
        <v>44570</v>
      </c>
      <c r="B789" s="8">
        <f t="shared" si="13"/>
        <v>278044803.2</v>
      </c>
      <c r="C789" s="8">
        <f t="shared" si="14"/>
        <v>0.0005717808219</v>
      </c>
      <c r="D789" s="8">
        <v>4677.03</v>
      </c>
      <c r="E789" s="8">
        <f t="shared" si="17"/>
        <v>0</v>
      </c>
      <c r="F789" s="53">
        <v>0.150105495</v>
      </c>
      <c r="G789" s="8">
        <f t="shared" si="16"/>
        <v>0.000004112479315</v>
      </c>
      <c r="H789" s="8">
        <f t="shared" si="11"/>
        <v>4677.03</v>
      </c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54">
        <f t="shared" si="12"/>
        <v>44571</v>
      </c>
      <c r="B790" s="8">
        <f t="shared" si="13"/>
        <v>278203783.9</v>
      </c>
      <c r="C790" s="8">
        <f t="shared" si="14"/>
        <v>0.0005717808219</v>
      </c>
      <c r="D790" s="8">
        <v>4670.29</v>
      </c>
      <c r="E790" s="8">
        <f t="shared" si="17"/>
        <v>-0.001441085475</v>
      </c>
      <c r="F790" s="53">
        <v>0.1908204</v>
      </c>
      <c r="G790" s="8">
        <f t="shared" si="16"/>
        <v>0.000005227956164</v>
      </c>
      <c r="H790" s="8">
        <f t="shared" si="11"/>
        <v>4670.29</v>
      </c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54">
        <f t="shared" si="12"/>
        <v>44572</v>
      </c>
      <c r="B791" s="8">
        <f t="shared" si="13"/>
        <v>278362855.5</v>
      </c>
      <c r="C791" s="8">
        <f t="shared" si="14"/>
        <v>0.0005717808219</v>
      </c>
      <c r="D791" s="8">
        <v>4713.07</v>
      </c>
      <c r="E791" s="8">
        <f t="shared" si="17"/>
        <v>0.009160030748</v>
      </c>
      <c r="F791" s="53">
        <v>0.367164491</v>
      </c>
      <c r="G791" s="8">
        <f t="shared" si="16"/>
        <v>0.00001005930112</v>
      </c>
      <c r="H791" s="8">
        <f t="shared" si="11"/>
        <v>4713.07</v>
      </c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54">
        <f t="shared" si="12"/>
        <v>44573</v>
      </c>
      <c r="B792" s="8">
        <f t="shared" si="13"/>
        <v>278522018</v>
      </c>
      <c r="C792" s="8">
        <f t="shared" si="14"/>
        <v>0.0005717808219</v>
      </c>
      <c r="D792" s="8">
        <v>4726.35</v>
      </c>
      <c r="E792" s="8">
        <f t="shared" si="17"/>
        <v>0.002817696321</v>
      </c>
      <c r="F792" s="53">
        <v>0.192063738</v>
      </c>
      <c r="G792" s="8">
        <f t="shared" si="16"/>
        <v>0.000005262020219</v>
      </c>
      <c r="H792" s="8">
        <f t="shared" si="11"/>
        <v>4726.35</v>
      </c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54">
        <f t="shared" si="12"/>
        <v>44574</v>
      </c>
      <c r="B793" s="8">
        <f t="shared" si="13"/>
        <v>278681271.6</v>
      </c>
      <c r="C793" s="8">
        <f t="shared" si="14"/>
        <v>0.0005717808219</v>
      </c>
      <c r="D793" s="8">
        <v>4659.03</v>
      </c>
      <c r="E793" s="8">
        <f t="shared" si="17"/>
        <v>-0.01424354946</v>
      </c>
      <c r="F793" s="53">
        <v>0.205468953</v>
      </c>
      <c r="G793" s="8">
        <f t="shared" si="16"/>
        <v>0.000005629286384</v>
      </c>
      <c r="H793" s="8">
        <f t="shared" si="11"/>
        <v>4659.03</v>
      </c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54">
        <f t="shared" si="12"/>
        <v>44575</v>
      </c>
      <c r="B794" s="8">
        <f t="shared" si="13"/>
        <v>278840616.2</v>
      </c>
      <c r="C794" s="8">
        <f t="shared" si="14"/>
        <v>0.0005717808219</v>
      </c>
      <c r="D794" s="8">
        <v>4662.85</v>
      </c>
      <c r="E794" s="8">
        <f t="shared" si="17"/>
        <v>0.0008199131579</v>
      </c>
      <c r="F794" s="53">
        <v>0.17265872</v>
      </c>
      <c r="G794" s="8">
        <f t="shared" si="16"/>
        <v>0.00000473037589</v>
      </c>
      <c r="H794" s="8">
        <f t="shared" si="11"/>
        <v>4662.85</v>
      </c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54">
        <f t="shared" si="12"/>
        <v>44576</v>
      </c>
      <c r="B795" s="8">
        <f t="shared" si="13"/>
        <v>279000051.9</v>
      </c>
      <c r="C795" s="8">
        <f t="shared" si="14"/>
        <v>0.0005717808219</v>
      </c>
      <c r="D795" s="8">
        <v>4662.85</v>
      </c>
      <c r="E795" s="8">
        <f t="shared" si="17"/>
        <v>0</v>
      </c>
      <c r="F795" s="53">
        <v>0.212693418</v>
      </c>
      <c r="G795" s="8">
        <f t="shared" si="16"/>
        <v>0.000005827216932</v>
      </c>
      <c r="H795" s="8">
        <f t="shared" si="11"/>
        <v>4662.85</v>
      </c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54">
        <f t="shared" si="12"/>
        <v>44577</v>
      </c>
      <c r="B796" s="8">
        <f t="shared" si="13"/>
        <v>279159578.8</v>
      </c>
      <c r="C796" s="8">
        <f t="shared" si="14"/>
        <v>0.0005717808219</v>
      </c>
      <c r="D796" s="8">
        <v>4662.85</v>
      </c>
      <c r="E796" s="8">
        <f t="shared" si="17"/>
        <v>0</v>
      </c>
      <c r="F796" s="53">
        <v>0.248158318</v>
      </c>
      <c r="G796" s="8">
        <f t="shared" si="16"/>
        <v>0.000006798858027</v>
      </c>
      <c r="H796" s="8">
        <f t="shared" si="11"/>
        <v>4662.85</v>
      </c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54">
        <f t="shared" si="12"/>
        <v>44578</v>
      </c>
      <c r="B797" s="8">
        <f t="shared" si="13"/>
        <v>279319196.9</v>
      </c>
      <c r="C797" s="8">
        <f t="shared" si="14"/>
        <v>0.0005717808219</v>
      </c>
      <c r="D797" s="8">
        <v>4662.85</v>
      </c>
      <c r="E797" s="8">
        <f t="shared" si="17"/>
        <v>0</v>
      </c>
      <c r="F797" s="53">
        <v>0.235303597</v>
      </c>
      <c r="G797" s="8">
        <f t="shared" si="16"/>
        <v>0.00000644667389</v>
      </c>
      <c r="H797" s="8">
        <f t="shared" si="11"/>
        <v>4662.85</v>
      </c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54">
        <f t="shared" si="12"/>
        <v>44579</v>
      </c>
      <c r="B798" s="8">
        <f t="shared" si="13"/>
        <v>279478906.3</v>
      </c>
      <c r="C798" s="8">
        <f t="shared" si="14"/>
        <v>0.0005717808219</v>
      </c>
      <c r="D798" s="8">
        <v>4577.11</v>
      </c>
      <c r="E798" s="8">
        <f t="shared" si="17"/>
        <v>-0.01838789581</v>
      </c>
      <c r="F798" s="53">
        <v>0.232940848</v>
      </c>
      <c r="G798" s="8">
        <f t="shared" si="16"/>
        <v>0.000006381941041</v>
      </c>
      <c r="H798" s="8">
        <f t="shared" si="11"/>
        <v>4577.11</v>
      </c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54">
        <f t="shared" si="12"/>
        <v>44580</v>
      </c>
      <c r="B799" s="8">
        <f t="shared" si="13"/>
        <v>279638706.9</v>
      </c>
      <c r="C799" s="8">
        <f t="shared" si="14"/>
        <v>0.0005717808219</v>
      </c>
      <c r="D799" s="8">
        <v>4532.76</v>
      </c>
      <c r="E799" s="8">
        <f t="shared" si="17"/>
        <v>-0.009689520243</v>
      </c>
      <c r="F799" s="53">
        <v>0.271271002</v>
      </c>
      <c r="G799" s="8">
        <f t="shared" si="16"/>
        <v>0.000007432082247</v>
      </c>
      <c r="H799" s="8">
        <f t="shared" si="11"/>
        <v>4532.76</v>
      </c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54">
        <f t="shared" si="12"/>
        <v>44581</v>
      </c>
      <c r="B800" s="8">
        <f t="shared" si="13"/>
        <v>279798599</v>
      </c>
      <c r="C800" s="8">
        <f t="shared" si="14"/>
        <v>0.0005717808219</v>
      </c>
      <c r="D800" s="8">
        <v>4482.73</v>
      </c>
      <c r="E800" s="8">
        <f t="shared" si="17"/>
        <v>-0.01103742532</v>
      </c>
      <c r="F800" s="53">
        <v>0.312318123</v>
      </c>
      <c r="G800" s="8">
        <f t="shared" si="16"/>
        <v>0.000008556660904</v>
      </c>
      <c r="H800" s="8">
        <f t="shared" si="11"/>
        <v>4482.73</v>
      </c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54">
        <f t="shared" si="12"/>
        <v>44582</v>
      </c>
      <c r="B801" s="8">
        <f t="shared" si="13"/>
        <v>279958582.5</v>
      </c>
      <c r="C801" s="8">
        <f t="shared" si="14"/>
        <v>0.0005717808219</v>
      </c>
      <c r="D801" s="8">
        <v>4397.94</v>
      </c>
      <c r="E801" s="8">
        <f t="shared" si="17"/>
        <v>-0.01891481307</v>
      </c>
      <c r="F801" s="53">
        <v>0.293618648</v>
      </c>
      <c r="G801" s="8">
        <f t="shared" si="16"/>
        <v>0.000008044346521</v>
      </c>
      <c r="H801" s="8">
        <f t="shared" si="11"/>
        <v>4397.94</v>
      </c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54">
        <f t="shared" si="12"/>
        <v>44583</v>
      </c>
      <c r="B802" s="8">
        <f t="shared" si="13"/>
        <v>280118657.4</v>
      </c>
      <c r="C802" s="8">
        <f t="shared" si="14"/>
        <v>0.0005717808219</v>
      </c>
      <c r="D802" s="8">
        <v>4397.94</v>
      </c>
      <c r="E802" s="8">
        <f t="shared" si="17"/>
        <v>0</v>
      </c>
      <c r="F802" s="53">
        <v>0.343160814</v>
      </c>
      <c r="G802" s="8">
        <f t="shared" si="16"/>
        <v>0.000009401666137</v>
      </c>
      <c r="H802" s="8">
        <f t="shared" si="11"/>
        <v>4397.94</v>
      </c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54">
        <f t="shared" si="12"/>
        <v>44584</v>
      </c>
      <c r="B803" s="8">
        <f t="shared" si="13"/>
        <v>280278823.9</v>
      </c>
      <c r="C803" s="8">
        <f t="shared" si="14"/>
        <v>0.0005717808219</v>
      </c>
      <c r="D803" s="8">
        <v>4397.94</v>
      </c>
      <c r="E803" s="8">
        <f t="shared" si="17"/>
        <v>0</v>
      </c>
      <c r="F803" s="53">
        <v>0.422317716</v>
      </c>
      <c r="G803" s="8">
        <f t="shared" si="16"/>
        <v>0.00001157034838</v>
      </c>
      <c r="H803" s="8">
        <f t="shared" si="11"/>
        <v>4397.94</v>
      </c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54">
        <f t="shared" si="12"/>
        <v>44585</v>
      </c>
      <c r="B804" s="8">
        <f t="shared" si="13"/>
        <v>280439081.9</v>
      </c>
      <c r="C804" s="8">
        <f t="shared" si="14"/>
        <v>0.0005717808219</v>
      </c>
      <c r="D804" s="8">
        <v>4410.13</v>
      </c>
      <c r="E804" s="8">
        <f t="shared" si="17"/>
        <v>0.002771752229</v>
      </c>
      <c r="F804" s="53">
        <v>0.2658416</v>
      </c>
      <c r="G804" s="8">
        <f t="shared" si="16"/>
        <v>0.000007283331507</v>
      </c>
      <c r="H804" s="8">
        <f t="shared" si="11"/>
        <v>4410.13</v>
      </c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54">
        <f t="shared" si="12"/>
        <v>44586</v>
      </c>
      <c r="B805" s="8">
        <f t="shared" si="13"/>
        <v>280599431.6</v>
      </c>
      <c r="C805" s="8">
        <f t="shared" si="14"/>
        <v>0.0005717808219</v>
      </c>
      <c r="D805" s="8">
        <v>4356.45</v>
      </c>
      <c r="E805" s="8">
        <f t="shared" si="17"/>
        <v>-0.01217197679</v>
      </c>
      <c r="F805" s="53">
        <v>0.273579603</v>
      </c>
      <c r="G805" s="8">
        <f t="shared" si="16"/>
        <v>0.000007495331589</v>
      </c>
      <c r="H805" s="8">
        <f t="shared" si="11"/>
        <v>4356.45</v>
      </c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54">
        <f t="shared" si="12"/>
        <v>44587</v>
      </c>
      <c r="B806" s="8">
        <f t="shared" si="13"/>
        <v>280759873</v>
      </c>
      <c r="C806" s="8">
        <f t="shared" si="14"/>
        <v>0.0005717808219</v>
      </c>
      <c r="D806" s="8">
        <v>4349.93</v>
      </c>
      <c r="E806" s="8">
        <f t="shared" si="17"/>
        <v>-0.001496631432</v>
      </c>
      <c r="F806" s="53">
        <v>0.365205637</v>
      </c>
      <c r="G806" s="8">
        <f t="shared" si="16"/>
        <v>0.00001000563389</v>
      </c>
      <c r="H806" s="8">
        <f t="shared" si="11"/>
        <v>4349.93</v>
      </c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54">
        <f t="shared" si="12"/>
        <v>44588</v>
      </c>
      <c r="B807" s="8">
        <f t="shared" si="13"/>
        <v>280920406.1</v>
      </c>
      <c r="C807" s="8">
        <f t="shared" si="14"/>
        <v>0.0005717808219</v>
      </c>
      <c r="D807" s="8">
        <v>4326.51</v>
      </c>
      <c r="E807" s="8">
        <f t="shared" si="17"/>
        <v>-0.005383994685</v>
      </c>
      <c r="F807" s="53">
        <v>0.342442107</v>
      </c>
      <c r="G807" s="8">
        <f t="shared" si="16"/>
        <v>0.000009381975534</v>
      </c>
      <c r="H807" s="8">
        <f t="shared" si="11"/>
        <v>4326.51</v>
      </c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54">
        <f t="shared" si="12"/>
        <v>44589</v>
      </c>
      <c r="B808" s="8">
        <f t="shared" si="13"/>
        <v>281081031</v>
      </c>
      <c r="C808" s="8">
        <f t="shared" si="14"/>
        <v>0.0005717808219</v>
      </c>
      <c r="D808" s="8">
        <v>4431.85</v>
      </c>
      <c r="E808" s="8">
        <f t="shared" si="17"/>
        <v>0.02434756883</v>
      </c>
      <c r="F808" s="53">
        <v>0.404646987</v>
      </c>
      <c r="G808" s="8">
        <f t="shared" si="16"/>
        <v>0.00001108621882</v>
      </c>
      <c r="H808" s="8">
        <f t="shared" si="11"/>
        <v>4431.85</v>
      </c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54">
        <f t="shared" si="12"/>
        <v>44590</v>
      </c>
      <c r="B809" s="8">
        <f t="shared" si="13"/>
        <v>281241747.7</v>
      </c>
      <c r="C809" s="8">
        <f t="shared" si="14"/>
        <v>0.0005717808219</v>
      </c>
      <c r="D809" s="8">
        <v>4431.85</v>
      </c>
      <c r="E809" s="8">
        <f t="shared" si="17"/>
        <v>0</v>
      </c>
      <c r="F809" s="53">
        <v>0.428593322</v>
      </c>
      <c r="G809" s="8">
        <f t="shared" si="16"/>
        <v>0.00001174228279</v>
      </c>
      <c r="H809" s="8">
        <f t="shared" si="11"/>
        <v>4431.85</v>
      </c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54">
        <f t="shared" si="12"/>
        <v>44591</v>
      </c>
      <c r="B810" s="8">
        <f t="shared" si="13"/>
        <v>281402556.4</v>
      </c>
      <c r="C810" s="8">
        <f t="shared" si="14"/>
        <v>0.0005717808219</v>
      </c>
      <c r="D810" s="8">
        <v>4431.85</v>
      </c>
      <c r="E810" s="8">
        <f t="shared" si="17"/>
        <v>0</v>
      </c>
      <c r="F810" s="53">
        <v>0.472582997</v>
      </c>
      <c r="G810" s="8">
        <f t="shared" si="16"/>
        <v>0.00001294747937</v>
      </c>
      <c r="H810" s="8">
        <f t="shared" si="11"/>
        <v>4431.85</v>
      </c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54">
        <f t="shared" si="12"/>
        <v>44592</v>
      </c>
      <c r="B811" s="8">
        <f t="shared" si="13"/>
        <v>281563457</v>
      </c>
      <c r="C811" s="8">
        <f t="shared" si="14"/>
        <v>0.0005717808219</v>
      </c>
      <c r="D811" s="8">
        <v>4515.55</v>
      </c>
      <c r="E811" s="8">
        <f t="shared" si="17"/>
        <v>0.01888601825</v>
      </c>
      <c r="F811" s="53">
        <v>0.466765375</v>
      </c>
      <c r="G811" s="8">
        <f t="shared" si="16"/>
        <v>0.00001278809247</v>
      </c>
      <c r="H811" s="8">
        <f t="shared" si="11"/>
        <v>4515.55</v>
      </c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54">
        <f t="shared" si="12"/>
        <v>44593</v>
      </c>
      <c r="B812" s="8">
        <f t="shared" si="13"/>
        <v>281724449.6</v>
      </c>
      <c r="C812" s="8">
        <f t="shared" si="14"/>
        <v>0.0005717808219</v>
      </c>
      <c r="D812" s="8">
        <v>4546.54</v>
      </c>
      <c r="E812" s="8">
        <f t="shared" si="17"/>
        <v>0.006862951357</v>
      </c>
      <c r="F812" s="53">
        <v>0.365743309</v>
      </c>
      <c r="G812" s="8">
        <f t="shared" si="16"/>
        <v>0.00001002036463</v>
      </c>
      <c r="H812" s="8">
        <f t="shared" si="11"/>
        <v>4546.54</v>
      </c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54">
        <f t="shared" si="12"/>
        <v>44594</v>
      </c>
      <c r="B813" s="8">
        <f t="shared" si="13"/>
        <v>281885534.2</v>
      </c>
      <c r="C813" s="8">
        <f t="shared" si="14"/>
        <v>0.0005717808219</v>
      </c>
      <c r="D813" s="8">
        <v>4589.38</v>
      </c>
      <c r="E813" s="8">
        <f t="shared" si="17"/>
        <v>0.009422549895</v>
      </c>
      <c r="F813" s="53">
        <v>0.372896944</v>
      </c>
      <c r="G813" s="8">
        <f t="shared" si="16"/>
        <v>0.00001021635463</v>
      </c>
      <c r="H813" s="8">
        <f t="shared" si="11"/>
        <v>4589.38</v>
      </c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54">
        <f t="shared" si="12"/>
        <v>44595</v>
      </c>
      <c r="B814" s="8">
        <f t="shared" si="13"/>
        <v>282046710.9</v>
      </c>
      <c r="C814" s="8">
        <f t="shared" si="14"/>
        <v>0.0005717808219</v>
      </c>
      <c r="D814" s="8">
        <v>4477.44</v>
      </c>
      <c r="E814" s="8">
        <f t="shared" si="17"/>
        <v>-0.02439109422</v>
      </c>
      <c r="F814" s="53">
        <v>0.41711601</v>
      </c>
      <c r="G814" s="8">
        <f t="shared" si="16"/>
        <v>0.00001142783589</v>
      </c>
      <c r="H814" s="8">
        <f t="shared" si="11"/>
        <v>4477.44</v>
      </c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54">
        <f t="shared" si="12"/>
        <v>44596</v>
      </c>
      <c r="B815" s="8">
        <f t="shared" si="13"/>
        <v>282207979.8</v>
      </c>
      <c r="C815" s="8">
        <f t="shared" si="14"/>
        <v>0.0005717808219</v>
      </c>
      <c r="D815" s="8">
        <v>4500.53</v>
      </c>
      <c r="E815" s="8">
        <f t="shared" si="17"/>
        <v>0.005156964694</v>
      </c>
      <c r="F815" s="53">
        <v>0.459604893</v>
      </c>
      <c r="G815" s="8">
        <f t="shared" si="16"/>
        <v>0.00001259191488</v>
      </c>
      <c r="H815" s="8">
        <f t="shared" si="11"/>
        <v>4500.53</v>
      </c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54">
        <f t="shared" si="12"/>
        <v>44597</v>
      </c>
      <c r="B816" s="8">
        <f t="shared" si="13"/>
        <v>282369340.9</v>
      </c>
      <c r="C816" s="8">
        <f t="shared" si="14"/>
        <v>0.0005717808219</v>
      </c>
      <c r="D816" s="8">
        <v>4500.53</v>
      </c>
      <c r="E816" s="8">
        <f t="shared" si="17"/>
        <v>0</v>
      </c>
      <c r="F816" s="53">
        <v>0.401230751</v>
      </c>
      <c r="G816" s="8">
        <f t="shared" si="16"/>
        <v>0.00001099262332</v>
      </c>
      <c r="H816" s="8">
        <f t="shared" si="11"/>
        <v>4500.53</v>
      </c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54">
        <f t="shared" si="12"/>
        <v>44598</v>
      </c>
      <c r="B817" s="8">
        <f t="shared" si="13"/>
        <v>282530794.3</v>
      </c>
      <c r="C817" s="8">
        <f t="shared" si="14"/>
        <v>0.0005717808219</v>
      </c>
      <c r="D817" s="8">
        <v>4500.53</v>
      </c>
      <c r="E817" s="8">
        <f t="shared" si="17"/>
        <v>0</v>
      </c>
      <c r="F817" s="53">
        <v>0.399091492</v>
      </c>
      <c r="G817" s="8">
        <f t="shared" si="16"/>
        <v>0.00001093401348</v>
      </c>
      <c r="H817" s="8">
        <f t="shared" si="11"/>
        <v>4500.53</v>
      </c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54">
        <f t="shared" si="12"/>
        <v>44599</v>
      </c>
      <c r="B818" s="8">
        <f t="shared" si="13"/>
        <v>282692340</v>
      </c>
      <c r="C818" s="8">
        <f t="shared" si="14"/>
        <v>0.0005717808219</v>
      </c>
      <c r="D818" s="8">
        <v>4483.87</v>
      </c>
      <c r="E818" s="8">
        <f t="shared" si="17"/>
        <v>-0.003701786234</v>
      </c>
      <c r="F818" s="53">
        <v>0.4822819</v>
      </c>
      <c r="G818" s="8">
        <f t="shared" si="16"/>
        <v>0.00001321320274</v>
      </c>
      <c r="H818" s="8">
        <f t="shared" si="11"/>
        <v>4483.87</v>
      </c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54">
        <f t="shared" si="12"/>
        <v>44600</v>
      </c>
      <c r="B819" s="8">
        <f t="shared" si="13"/>
        <v>282853978.1</v>
      </c>
      <c r="C819" s="8">
        <f t="shared" si="14"/>
        <v>0.0005717808219</v>
      </c>
      <c r="D819" s="8">
        <v>4521.54</v>
      </c>
      <c r="E819" s="8">
        <f t="shared" si="17"/>
        <v>0.008401224835</v>
      </c>
      <c r="F819" s="53">
        <v>0.408121143</v>
      </c>
      <c r="G819" s="8">
        <f t="shared" si="16"/>
        <v>0.00001118140118</v>
      </c>
      <c r="H819" s="8">
        <f t="shared" si="11"/>
        <v>4521.54</v>
      </c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54">
        <f t="shared" si="12"/>
        <v>44601</v>
      </c>
      <c r="B820" s="8">
        <f t="shared" si="13"/>
        <v>283015708.6</v>
      </c>
      <c r="C820" s="8">
        <f t="shared" si="14"/>
        <v>0.0005717808219</v>
      </c>
      <c r="D820" s="8">
        <v>4587.18</v>
      </c>
      <c r="E820" s="8">
        <f t="shared" si="17"/>
        <v>0.01451717778</v>
      </c>
      <c r="F820" s="53">
        <v>0.546587333</v>
      </c>
      <c r="G820" s="8">
        <f t="shared" si="16"/>
        <v>0.00001497499542</v>
      </c>
      <c r="H820" s="8">
        <f t="shared" si="11"/>
        <v>4587.18</v>
      </c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54">
        <f t="shared" si="12"/>
        <v>44602</v>
      </c>
      <c r="B821" s="8">
        <f t="shared" si="13"/>
        <v>283177531.5</v>
      </c>
      <c r="C821" s="8">
        <f t="shared" si="14"/>
        <v>0.0005717808219</v>
      </c>
      <c r="D821" s="8">
        <v>4504.08</v>
      </c>
      <c r="E821" s="8">
        <f t="shared" si="17"/>
        <v>-0.01811570507</v>
      </c>
      <c r="F821" s="53">
        <v>0.526495439</v>
      </c>
      <c r="G821" s="8">
        <f t="shared" si="16"/>
        <v>0.00001442453258</v>
      </c>
      <c r="H821" s="8">
        <f t="shared" si="11"/>
        <v>4504.08</v>
      </c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54">
        <f t="shared" si="12"/>
        <v>44603</v>
      </c>
      <c r="B822" s="8">
        <f t="shared" si="13"/>
        <v>283339447</v>
      </c>
      <c r="C822" s="8">
        <f t="shared" si="14"/>
        <v>0.0005717808219</v>
      </c>
      <c r="D822" s="8">
        <v>4418.64</v>
      </c>
      <c r="E822" s="8">
        <f t="shared" si="17"/>
        <v>-0.01896946768</v>
      </c>
      <c r="F822" s="53">
        <v>0.520301728</v>
      </c>
      <c r="G822" s="8">
        <f t="shared" si="16"/>
        <v>0.00001425484186</v>
      </c>
      <c r="H822" s="8">
        <f t="shared" si="11"/>
        <v>4418.64</v>
      </c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54">
        <f t="shared" si="12"/>
        <v>44604</v>
      </c>
      <c r="B823" s="8">
        <f t="shared" si="13"/>
        <v>283501455</v>
      </c>
      <c r="C823" s="8">
        <f t="shared" si="14"/>
        <v>0.0005717808219</v>
      </c>
      <c r="D823" s="8">
        <v>4418.64</v>
      </c>
      <c r="E823" s="8">
        <f t="shared" si="17"/>
        <v>0</v>
      </c>
      <c r="F823" s="53">
        <v>0.589397426</v>
      </c>
      <c r="G823" s="8">
        <f t="shared" si="16"/>
        <v>0.00001614787468</v>
      </c>
      <c r="H823" s="8">
        <f t="shared" si="11"/>
        <v>4418.64</v>
      </c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54">
        <f t="shared" si="12"/>
        <v>44605</v>
      </c>
      <c r="B824" s="8">
        <f t="shared" si="13"/>
        <v>283663555.7</v>
      </c>
      <c r="C824" s="8">
        <f t="shared" si="14"/>
        <v>0.0005717808219</v>
      </c>
      <c r="D824" s="8">
        <v>4418.64</v>
      </c>
      <c r="E824" s="8">
        <f t="shared" si="17"/>
        <v>0</v>
      </c>
      <c r="F824" s="53">
        <v>0.50923105</v>
      </c>
      <c r="G824" s="8">
        <f t="shared" si="16"/>
        <v>0.00001395153562</v>
      </c>
      <c r="H824" s="8">
        <f t="shared" si="11"/>
        <v>4418.64</v>
      </c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54">
        <f t="shared" si="12"/>
        <v>44606</v>
      </c>
      <c r="B825" s="8">
        <f t="shared" si="13"/>
        <v>283825749.1</v>
      </c>
      <c r="C825" s="8">
        <f t="shared" si="14"/>
        <v>0.0005717808219</v>
      </c>
      <c r="D825" s="8">
        <v>4401.67</v>
      </c>
      <c r="E825" s="8">
        <f t="shared" si="17"/>
        <v>-0.003840548223</v>
      </c>
      <c r="F825" s="53">
        <v>0.535431989</v>
      </c>
      <c r="G825" s="8">
        <f t="shared" si="16"/>
        <v>0.00001466936956</v>
      </c>
      <c r="H825" s="8">
        <f t="shared" si="11"/>
        <v>4401.67</v>
      </c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54">
        <f t="shared" si="12"/>
        <v>44607</v>
      </c>
      <c r="B826" s="8">
        <f t="shared" si="13"/>
        <v>283988035.2</v>
      </c>
      <c r="C826" s="8">
        <f t="shared" si="14"/>
        <v>0.0005717808219</v>
      </c>
      <c r="D826" s="8">
        <v>4471.07</v>
      </c>
      <c r="E826" s="8">
        <f t="shared" si="17"/>
        <v>0.01576674308</v>
      </c>
      <c r="F826" s="53">
        <v>0.529712022</v>
      </c>
      <c r="G826" s="8">
        <f t="shared" si="16"/>
        <v>0.00001451265814</v>
      </c>
      <c r="H826" s="8">
        <f t="shared" si="11"/>
        <v>4471.07</v>
      </c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54">
        <f t="shared" si="12"/>
        <v>44608</v>
      </c>
      <c r="B827" s="8">
        <f t="shared" si="13"/>
        <v>284150414.2</v>
      </c>
      <c r="C827" s="8">
        <f t="shared" si="14"/>
        <v>0.0005717808219</v>
      </c>
      <c r="D827" s="8">
        <v>4475.01</v>
      </c>
      <c r="E827" s="8">
        <f t="shared" si="17"/>
        <v>0.0008812208263</v>
      </c>
      <c r="F827" s="53">
        <v>0.596407437</v>
      </c>
      <c r="G827" s="8">
        <f t="shared" si="16"/>
        <v>0.00001633992978</v>
      </c>
      <c r="H827" s="8">
        <f t="shared" si="11"/>
        <v>4475.01</v>
      </c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54">
        <f t="shared" si="12"/>
        <v>44609</v>
      </c>
      <c r="B828" s="8">
        <f t="shared" si="13"/>
        <v>284312885.9</v>
      </c>
      <c r="C828" s="8">
        <f t="shared" si="14"/>
        <v>0.0005717808219</v>
      </c>
      <c r="D828" s="8">
        <v>4380.26</v>
      </c>
      <c r="E828" s="8">
        <f t="shared" si="17"/>
        <v>-0.02117313704</v>
      </c>
      <c r="F828" s="53">
        <v>0.565656812</v>
      </c>
      <c r="G828" s="8">
        <f t="shared" si="16"/>
        <v>0.0000154974469</v>
      </c>
      <c r="H828" s="8">
        <f t="shared" si="11"/>
        <v>4380.26</v>
      </c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54">
        <f t="shared" si="12"/>
        <v>44610</v>
      </c>
      <c r="B829" s="8">
        <f t="shared" si="13"/>
        <v>284475450.6</v>
      </c>
      <c r="C829" s="8">
        <f t="shared" si="14"/>
        <v>0.0005717808219</v>
      </c>
      <c r="D829" s="8">
        <v>4348.87</v>
      </c>
      <c r="E829" s="8">
        <f t="shared" si="17"/>
        <v>-0.007166241273</v>
      </c>
      <c r="F829" s="53">
        <v>0.52948127</v>
      </c>
      <c r="G829" s="8">
        <f t="shared" si="16"/>
        <v>0.00001450633616</v>
      </c>
      <c r="H829" s="8">
        <f t="shared" si="11"/>
        <v>4348.87</v>
      </c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54">
        <f t="shared" si="12"/>
        <v>44611</v>
      </c>
      <c r="B830" s="8">
        <f t="shared" si="13"/>
        <v>284638108.2</v>
      </c>
      <c r="C830" s="8">
        <f t="shared" si="14"/>
        <v>0.0005717808219</v>
      </c>
      <c r="D830" s="8">
        <v>4348.87</v>
      </c>
      <c r="E830" s="8">
        <f t="shared" si="17"/>
        <v>0</v>
      </c>
      <c r="F830" s="53">
        <v>0.555146271</v>
      </c>
      <c r="G830" s="8">
        <f t="shared" si="16"/>
        <v>0.00001520948688</v>
      </c>
      <c r="H830" s="8">
        <f t="shared" si="11"/>
        <v>4348.87</v>
      </c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54">
        <f t="shared" si="12"/>
        <v>44612</v>
      </c>
      <c r="B831" s="8">
        <f t="shared" si="13"/>
        <v>284800858.8</v>
      </c>
      <c r="C831" s="8">
        <f t="shared" si="14"/>
        <v>0.0005717808219</v>
      </c>
      <c r="D831" s="8">
        <v>4348.87</v>
      </c>
      <c r="E831" s="8">
        <f t="shared" si="17"/>
        <v>0</v>
      </c>
      <c r="F831" s="53">
        <v>0.706783915</v>
      </c>
      <c r="G831" s="8">
        <f t="shared" si="16"/>
        <v>0.00001936394288</v>
      </c>
      <c r="H831" s="8">
        <f t="shared" si="11"/>
        <v>4348.87</v>
      </c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54">
        <f t="shared" si="12"/>
        <v>44613</v>
      </c>
      <c r="B832" s="8">
        <f t="shared" si="13"/>
        <v>284963702.5</v>
      </c>
      <c r="C832" s="8">
        <f t="shared" si="14"/>
        <v>0.0005717808219</v>
      </c>
      <c r="D832" s="8">
        <v>4348.87</v>
      </c>
      <c r="E832" s="8">
        <f t="shared" si="17"/>
        <v>0</v>
      </c>
      <c r="F832" s="53">
        <v>0.567342258</v>
      </c>
      <c r="G832" s="8">
        <f t="shared" si="16"/>
        <v>0.00001554362351</v>
      </c>
      <c r="H832" s="8">
        <f t="shared" si="11"/>
        <v>4348.87</v>
      </c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54">
        <f t="shared" si="12"/>
        <v>44614</v>
      </c>
      <c r="B833" s="8">
        <f t="shared" si="13"/>
        <v>285126639.2</v>
      </c>
      <c r="C833" s="8">
        <f t="shared" si="14"/>
        <v>0.0005717808219</v>
      </c>
      <c r="D833" s="8">
        <v>4304.76</v>
      </c>
      <c r="E833" s="8">
        <f t="shared" si="17"/>
        <v>-0.0101428647</v>
      </c>
      <c r="F833" s="53">
        <v>0.610330702</v>
      </c>
      <c r="G833" s="8">
        <f t="shared" si="16"/>
        <v>0.0000167213891</v>
      </c>
      <c r="H833" s="8">
        <f t="shared" si="11"/>
        <v>4304.76</v>
      </c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54">
        <f t="shared" si="12"/>
        <v>44615</v>
      </c>
      <c r="B834" s="8">
        <f t="shared" si="13"/>
        <v>285289669.2</v>
      </c>
      <c r="C834" s="8">
        <f t="shared" si="14"/>
        <v>0.0005717808219</v>
      </c>
      <c r="D834" s="8">
        <v>4225.5</v>
      </c>
      <c r="E834" s="8">
        <f t="shared" si="17"/>
        <v>-0.01841217629</v>
      </c>
      <c r="F834" s="53">
        <v>0.741464515</v>
      </c>
      <c r="G834" s="8">
        <f t="shared" si="16"/>
        <v>0.0000203140963</v>
      </c>
      <c r="H834" s="8">
        <f t="shared" si="11"/>
        <v>4225.5</v>
      </c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54">
        <f t="shared" si="12"/>
        <v>44616</v>
      </c>
      <c r="B835" s="8">
        <f t="shared" si="13"/>
        <v>285452792.3</v>
      </c>
      <c r="C835" s="8">
        <f t="shared" si="14"/>
        <v>0.0005717808219</v>
      </c>
      <c r="D835" s="8">
        <v>4288.7</v>
      </c>
      <c r="E835" s="8">
        <f t="shared" si="17"/>
        <v>0.01495680984</v>
      </c>
      <c r="F835" s="53">
        <v>0.521290553</v>
      </c>
      <c r="G835" s="8">
        <f t="shared" si="16"/>
        <v>0.00001428193296</v>
      </c>
      <c r="H835" s="8">
        <f t="shared" si="11"/>
        <v>4288.7</v>
      </c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54">
        <f t="shared" si="12"/>
        <v>44617</v>
      </c>
      <c r="B836" s="8">
        <f t="shared" si="13"/>
        <v>285616008.8</v>
      </c>
      <c r="C836" s="8">
        <f t="shared" si="14"/>
        <v>0.0005717808219</v>
      </c>
      <c r="D836" s="8">
        <v>4384.65</v>
      </c>
      <c r="E836" s="8">
        <f t="shared" si="17"/>
        <v>0.02237274699</v>
      </c>
      <c r="F836" s="53">
        <v>0.618814324</v>
      </c>
      <c r="G836" s="8">
        <f t="shared" si="16"/>
        <v>0.0000169538171</v>
      </c>
      <c r="H836" s="8">
        <f t="shared" si="11"/>
        <v>4384.65</v>
      </c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54">
        <f t="shared" si="12"/>
        <v>44618</v>
      </c>
      <c r="B837" s="8">
        <f t="shared" si="13"/>
        <v>285779318.5</v>
      </c>
      <c r="C837" s="8">
        <f t="shared" si="14"/>
        <v>0.0005717808219</v>
      </c>
      <c r="D837" s="8">
        <v>4384.65</v>
      </c>
      <c r="E837" s="8">
        <f t="shared" si="17"/>
        <v>0</v>
      </c>
      <c r="F837" s="53">
        <v>0.71591049</v>
      </c>
      <c r="G837" s="8">
        <f t="shared" si="16"/>
        <v>0.00001961398603</v>
      </c>
      <c r="H837" s="8">
        <f t="shared" si="11"/>
        <v>4384.65</v>
      </c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54">
        <f t="shared" si="12"/>
        <v>44619</v>
      </c>
      <c r="B838" s="8">
        <f t="shared" si="13"/>
        <v>285942721.7</v>
      </c>
      <c r="C838" s="8">
        <f t="shared" si="14"/>
        <v>0.0005717808219</v>
      </c>
      <c r="D838" s="8">
        <v>4384.65</v>
      </c>
      <c r="E838" s="8">
        <f t="shared" si="17"/>
        <v>0</v>
      </c>
      <c r="F838" s="53">
        <v>0.685152038</v>
      </c>
      <c r="G838" s="8">
        <f t="shared" si="16"/>
        <v>0.00001877128871</v>
      </c>
      <c r="H838" s="8">
        <f t="shared" si="11"/>
        <v>4384.65</v>
      </c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54">
        <f t="shared" si="12"/>
        <v>44620</v>
      </c>
      <c r="B839" s="8">
        <f t="shared" si="13"/>
        <v>286106218.2</v>
      </c>
      <c r="C839" s="8">
        <f t="shared" si="14"/>
        <v>0.0005717808219</v>
      </c>
      <c r="D839" s="8">
        <v>4373.94</v>
      </c>
      <c r="E839" s="8">
        <f t="shared" si="17"/>
        <v>-0.002442612295</v>
      </c>
      <c r="F839" s="53">
        <v>0.750731628</v>
      </c>
      <c r="G839" s="8">
        <f t="shared" si="16"/>
        <v>0.00002056798981</v>
      </c>
      <c r="H839" s="8">
        <f t="shared" si="11"/>
        <v>4373.94</v>
      </c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54">
        <f t="shared" si="12"/>
        <v>44621</v>
      </c>
      <c r="B840" s="8">
        <f t="shared" si="13"/>
        <v>286269808.3</v>
      </c>
      <c r="C840" s="8">
        <f t="shared" si="14"/>
        <v>0.0005717808219</v>
      </c>
      <c r="D840" s="8">
        <v>4306.26</v>
      </c>
      <c r="E840" s="8">
        <f t="shared" si="17"/>
        <v>-0.01547346328</v>
      </c>
      <c r="F840" s="53">
        <v>0.717149074</v>
      </c>
      <c r="G840" s="8">
        <f t="shared" si="16"/>
        <v>0.00001964791984</v>
      </c>
      <c r="H840" s="8">
        <f t="shared" si="11"/>
        <v>4306.26</v>
      </c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54">
        <f t="shared" si="12"/>
        <v>44622</v>
      </c>
      <c r="B841" s="8">
        <f t="shared" si="13"/>
        <v>286433491.9</v>
      </c>
      <c r="C841" s="8">
        <f t="shared" si="14"/>
        <v>0.0005717808219</v>
      </c>
      <c r="D841" s="8">
        <v>4386.54</v>
      </c>
      <c r="E841" s="8">
        <f t="shared" si="17"/>
        <v>0.01864262724</v>
      </c>
      <c r="F841" s="53">
        <v>0.717479601</v>
      </c>
      <c r="G841" s="8">
        <f t="shared" si="16"/>
        <v>0.00001965697537</v>
      </c>
      <c r="H841" s="8">
        <f t="shared" si="11"/>
        <v>4386.54</v>
      </c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54">
        <f t="shared" si="12"/>
        <v>44623</v>
      </c>
      <c r="B842" s="8">
        <f t="shared" si="13"/>
        <v>286597269</v>
      </c>
      <c r="C842" s="8">
        <f t="shared" si="14"/>
        <v>0.0005717808219</v>
      </c>
      <c r="D842" s="8">
        <v>4363.49</v>
      </c>
      <c r="E842" s="8">
        <f t="shared" si="17"/>
        <v>-0.005254711002</v>
      </c>
      <c r="F842" s="53">
        <v>0.737341375</v>
      </c>
      <c r="G842" s="8">
        <f t="shared" si="16"/>
        <v>0.00002020113356</v>
      </c>
      <c r="H842" s="8">
        <f t="shared" si="11"/>
        <v>4363.49</v>
      </c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54">
        <f t="shared" si="12"/>
        <v>44624</v>
      </c>
      <c r="B843" s="8">
        <f t="shared" si="13"/>
        <v>286761139.9</v>
      </c>
      <c r="C843" s="8">
        <f t="shared" si="14"/>
        <v>0.0005717808219</v>
      </c>
      <c r="D843" s="8">
        <v>4328.87</v>
      </c>
      <c r="E843" s="8">
        <f t="shared" si="17"/>
        <v>-0.00793401612</v>
      </c>
      <c r="F843" s="53">
        <v>0.761551664</v>
      </c>
      <c r="G843" s="8">
        <f t="shared" si="16"/>
        <v>0.00002086442915</v>
      </c>
      <c r="H843" s="8">
        <f t="shared" si="11"/>
        <v>4328.87</v>
      </c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54">
        <f t="shared" si="12"/>
        <v>44625</v>
      </c>
      <c r="B844" s="8">
        <f t="shared" si="13"/>
        <v>286925104.4</v>
      </c>
      <c r="C844" s="8">
        <f t="shared" si="14"/>
        <v>0.0005717808219</v>
      </c>
      <c r="D844" s="8">
        <v>4328.87</v>
      </c>
      <c r="E844" s="8">
        <f t="shared" si="17"/>
        <v>0</v>
      </c>
      <c r="F844" s="53">
        <v>0.663879501</v>
      </c>
      <c r="G844" s="8">
        <f t="shared" si="16"/>
        <v>0.00001818847948</v>
      </c>
      <c r="H844" s="8">
        <f t="shared" si="11"/>
        <v>4328.87</v>
      </c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54">
        <f t="shared" si="12"/>
        <v>44626</v>
      </c>
      <c r="B845" s="8">
        <f t="shared" si="13"/>
        <v>287089162.7</v>
      </c>
      <c r="C845" s="8">
        <f t="shared" si="14"/>
        <v>0.0005717808219</v>
      </c>
      <c r="D845" s="8">
        <v>4328.87</v>
      </c>
      <c r="E845" s="8">
        <f t="shared" si="17"/>
        <v>0</v>
      </c>
      <c r="F845" s="53">
        <v>0.789692725</v>
      </c>
      <c r="G845" s="8">
        <f t="shared" si="16"/>
        <v>0.00002163541712</v>
      </c>
      <c r="H845" s="8">
        <f t="shared" si="11"/>
        <v>4328.87</v>
      </c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54">
        <f t="shared" si="12"/>
        <v>44627</v>
      </c>
      <c r="B846" s="8">
        <f t="shared" si="13"/>
        <v>287253314.7</v>
      </c>
      <c r="C846" s="8">
        <f t="shared" si="14"/>
        <v>0.0005717808219</v>
      </c>
      <c r="D846" s="8">
        <v>4201.09</v>
      </c>
      <c r="E846" s="8">
        <f t="shared" si="17"/>
        <v>-0.02951809595</v>
      </c>
      <c r="F846" s="53">
        <v>0.845856502</v>
      </c>
      <c r="G846" s="8">
        <f t="shared" si="16"/>
        <v>0.00002317415074</v>
      </c>
      <c r="H846" s="8">
        <f t="shared" si="11"/>
        <v>4201.09</v>
      </c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54">
        <f t="shared" si="12"/>
        <v>44628</v>
      </c>
      <c r="B847" s="8">
        <f t="shared" si="13"/>
        <v>287417560.7</v>
      </c>
      <c r="C847" s="8">
        <f t="shared" si="14"/>
        <v>0.0005717808219</v>
      </c>
      <c r="D847" s="8">
        <v>4170.7</v>
      </c>
      <c r="E847" s="8">
        <f t="shared" si="17"/>
        <v>-0.007233836933</v>
      </c>
      <c r="F847" s="53">
        <v>0.755883772</v>
      </c>
      <c r="G847" s="8">
        <f t="shared" si="16"/>
        <v>0.00002070914444</v>
      </c>
      <c r="H847" s="8">
        <f t="shared" si="11"/>
        <v>4170.7</v>
      </c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54">
        <f t="shared" si="12"/>
        <v>44629</v>
      </c>
      <c r="B848" s="8">
        <f t="shared" si="13"/>
        <v>287581900.5</v>
      </c>
      <c r="C848" s="8">
        <f t="shared" si="14"/>
        <v>0.0005717808219</v>
      </c>
      <c r="D848" s="8">
        <v>4277.88</v>
      </c>
      <c r="E848" s="8">
        <f t="shared" si="17"/>
        <v>0.02569832402</v>
      </c>
      <c r="F848" s="53">
        <v>0.814365571</v>
      </c>
      <c r="G848" s="8">
        <f t="shared" si="16"/>
        <v>0.00002231138551</v>
      </c>
      <c r="H848" s="8">
        <f t="shared" si="11"/>
        <v>4277.88</v>
      </c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54">
        <f t="shared" si="12"/>
        <v>44630</v>
      </c>
      <c r="B849" s="8">
        <f t="shared" si="13"/>
        <v>287746334.3</v>
      </c>
      <c r="C849" s="8">
        <f t="shared" si="14"/>
        <v>0.0005717808219</v>
      </c>
      <c r="D849" s="8">
        <v>4259.52</v>
      </c>
      <c r="E849" s="8">
        <f t="shared" si="17"/>
        <v>-0.004291845494</v>
      </c>
      <c r="F849" s="53">
        <v>0.905669573</v>
      </c>
      <c r="G849" s="8">
        <f t="shared" si="16"/>
        <v>0.00002481286501</v>
      </c>
      <c r="H849" s="8">
        <f t="shared" si="11"/>
        <v>4259.52</v>
      </c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54">
        <f t="shared" si="12"/>
        <v>44631</v>
      </c>
      <c r="B850" s="8">
        <f t="shared" si="13"/>
        <v>287910862.2</v>
      </c>
      <c r="C850" s="8">
        <f t="shared" si="14"/>
        <v>0.0005717808219</v>
      </c>
      <c r="D850" s="8">
        <v>4204.31</v>
      </c>
      <c r="E850" s="8">
        <f t="shared" si="17"/>
        <v>-0.01296155435</v>
      </c>
      <c r="F850" s="53">
        <v>0.808457053</v>
      </c>
      <c r="G850" s="8">
        <f t="shared" si="16"/>
        <v>0.0000221495083</v>
      </c>
      <c r="H850" s="8">
        <f t="shared" si="11"/>
        <v>4204.31</v>
      </c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54">
        <f t="shared" si="12"/>
        <v>44632</v>
      </c>
      <c r="B851" s="8">
        <f t="shared" si="13"/>
        <v>288075484.1</v>
      </c>
      <c r="C851" s="8">
        <f t="shared" si="14"/>
        <v>0.0005717808219</v>
      </c>
      <c r="D851" s="8">
        <v>4204.31</v>
      </c>
      <c r="E851" s="8">
        <f t="shared" si="17"/>
        <v>0</v>
      </c>
      <c r="F851" s="53">
        <v>0.856045657</v>
      </c>
      <c r="G851" s="8">
        <f t="shared" si="16"/>
        <v>0.00002345330567</v>
      </c>
      <c r="H851" s="8">
        <f t="shared" si="11"/>
        <v>4204.31</v>
      </c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54">
        <f t="shared" si="12"/>
        <v>44633</v>
      </c>
      <c r="B852" s="8">
        <f t="shared" si="13"/>
        <v>288240200.1</v>
      </c>
      <c r="C852" s="8">
        <f t="shared" si="14"/>
        <v>0.0005717808219</v>
      </c>
      <c r="D852" s="8">
        <v>4204.31</v>
      </c>
      <c r="E852" s="8">
        <f t="shared" si="17"/>
        <v>0</v>
      </c>
      <c r="F852" s="53">
        <v>0.843034041</v>
      </c>
      <c r="G852" s="8">
        <f t="shared" si="16"/>
        <v>0.00002309682304</v>
      </c>
      <c r="H852" s="8">
        <f t="shared" si="11"/>
        <v>4204.31</v>
      </c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54">
        <f t="shared" si="12"/>
        <v>44634</v>
      </c>
      <c r="B853" s="8">
        <f t="shared" si="13"/>
        <v>288405010.3</v>
      </c>
      <c r="C853" s="8">
        <f t="shared" si="14"/>
        <v>0.0005717808219</v>
      </c>
      <c r="D853" s="8">
        <v>4173.11</v>
      </c>
      <c r="E853" s="8">
        <f t="shared" si="17"/>
        <v>-0.007420956114</v>
      </c>
      <c r="F853" s="53">
        <v>0.794795128</v>
      </c>
      <c r="G853" s="8">
        <f t="shared" si="16"/>
        <v>0.00002177520899</v>
      </c>
      <c r="H853" s="8">
        <f t="shared" si="11"/>
        <v>4173.11</v>
      </c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54">
        <f t="shared" si="12"/>
        <v>44635</v>
      </c>
      <c r="B854" s="8">
        <f t="shared" si="13"/>
        <v>288569914.8</v>
      </c>
      <c r="C854" s="8">
        <f t="shared" si="14"/>
        <v>0.0005717808219</v>
      </c>
      <c r="D854" s="8">
        <v>4262.45</v>
      </c>
      <c r="E854" s="8">
        <f t="shared" si="17"/>
        <v>0.02140849391</v>
      </c>
      <c r="F854" s="53">
        <v>0.87680549</v>
      </c>
      <c r="G854" s="8">
        <f t="shared" si="16"/>
        <v>0.00002402206822</v>
      </c>
      <c r="H854" s="8">
        <f t="shared" si="11"/>
        <v>4262.45</v>
      </c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54">
        <f t="shared" si="12"/>
        <v>44636</v>
      </c>
      <c r="B855" s="8">
        <f t="shared" si="13"/>
        <v>288734913.5</v>
      </c>
      <c r="C855" s="8">
        <f t="shared" si="14"/>
        <v>0.0005717808219</v>
      </c>
      <c r="D855" s="8">
        <v>4357.86</v>
      </c>
      <c r="E855" s="8">
        <f t="shared" si="17"/>
        <v>0.02238384028</v>
      </c>
      <c r="F855" s="53">
        <v>0.807630224</v>
      </c>
      <c r="G855" s="8">
        <f t="shared" si="16"/>
        <v>0.00002212685545</v>
      </c>
      <c r="H855" s="8">
        <f t="shared" si="11"/>
        <v>4357.86</v>
      </c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54">
        <f t="shared" si="12"/>
        <v>44637</v>
      </c>
      <c r="B856" s="8">
        <f t="shared" si="13"/>
        <v>288900006.6</v>
      </c>
      <c r="C856" s="8">
        <f t="shared" si="14"/>
        <v>0.0005717808219</v>
      </c>
      <c r="D856" s="8">
        <v>4411.67</v>
      </c>
      <c r="E856" s="8">
        <f t="shared" si="17"/>
        <v>0.01234780374</v>
      </c>
      <c r="F856" s="53">
        <v>0.853715021</v>
      </c>
      <c r="G856" s="8">
        <f t="shared" si="16"/>
        <v>0.00002338945263</v>
      </c>
      <c r="H856" s="8">
        <f t="shared" si="11"/>
        <v>4411.67</v>
      </c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54">
        <f t="shared" si="12"/>
        <v>44638</v>
      </c>
      <c r="B857" s="8">
        <f t="shared" si="13"/>
        <v>289065194.1</v>
      </c>
      <c r="C857" s="8">
        <f t="shared" si="14"/>
        <v>0.0005717808219</v>
      </c>
      <c r="D857" s="8">
        <v>4463.12</v>
      </c>
      <c r="E857" s="8">
        <f t="shared" si="17"/>
        <v>0.01166225035</v>
      </c>
      <c r="F857" s="53">
        <v>0.924337012</v>
      </c>
      <c r="G857" s="8">
        <f t="shared" si="16"/>
        <v>0.0000253243017</v>
      </c>
      <c r="H857" s="8">
        <f t="shared" si="11"/>
        <v>4463.12</v>
      </c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54">
        <f t="shared" si="12"/>
        <v>44639</v>
      </c>
      <c r="B858" s="8">
        <f t="shared" si="13"/>
        <v>289230476</v>
      </c>
      <c r="C858" s="8">
        <f t="shared" si="14"/>
        <v>0.0005717808219</v>
      </c>
      <c r="D858" s="8">
        <v>4463.12</v>
      </c>
      <c r="E858" s="8">
        <f t="shared" si="17"/>
        <v>0</v>
      </c>
      <c r="F858" s="53">
        <v>0.871948215</v>
      </c>
      <c r="G858" s="8">
        <f t="shared" si="16"/>
        <v>0.00002388899219</v>
      </c>
      <c r="H858" s="8">
        <f t="shared" si="11"/>
        <v>4463.12</v>
      </c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54">
        <f t="shared" si="12"/>
        <v>44640</v>
      </c>
      <c r="B859" s="8">
        <f t="shared" si="13"/>
        <v>289395852.5</v>
      </c>
      <c r="C859" s="8">
        <f t="shared" si="14"/>
        <v>0.0005717808219</v>
      </c>
      <c r="D859" s="8">
        <v>4463.12</v>
      </c>
      <c r="E859" s="8">
        <f t="shared" si="17"/>
        <v>0</v>
      </c>
      <c r="F859" s="53">
        <v>0.843112035</v>
      </c>
      <c r="G859" s="8">
        <f t="shared" si="16"/>
        <v>0.00002309895986</v>
      </c>
      <c r="H859" s="8">
        <f t="shared" si="11"/>
        <v>4463.12</v>
      </c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54">
        <f t="shared" si="12"/>
        <v>44641</v>
      </c>
      <c r="B860" s="8">
        <f t="shared" si="13"/>
        <v>289561323.5</v>
      </c>
      <c r="C860" s="8">
        <f t="shared" si="14"/>
        <v>0.0005717808219</v>
      </c>
      <c r="D860" s="8">
        <v>4461.18</v>
      </c>
      <c r="E860" s="8">
        <f t="shared" si="17"/>
        <v>-0.0004346735019</v>
      </c>
      <c r="F860" s="53">
        <v>0.935333362</v>
      </c>
      <c r="G860" s="8">
        <f t="shared" si="16"/>
        <v>0.00002562557156</v>
      </c>
      <c r="H860" s="8">
        <f t="shared" si="11"/>
        <v>4461.18</v>
      </c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54">
        <f t="shared" si="12"/>
        <v>44642</v>
      </c>
      <c r="B861" s="8">
        <f t="shared" si="13"/>
        <v>289726889.1</v>
      </c>
      <c r="C861" s="8">
        <f t="shared" si="14"/>
        <v>0.0005717808219</v>
      </c>
      <c r="D861" s="8">
        <v>4511.61</v>
      </c>
      <c r="E861" s="8">
        <f t="shared" si="17"/>
        <v>0.01130418409</v>
      </c>
      <c r="F861" s="53">
        <v>0.944057367</v>
      </c>
      <c r="G861" s="8">
        <f t="shared" si="16"/>
        <v>0.0000258645854</v>
      </c>
      <c r="H861" s="8">
        <f t="shared" si="11"/>
        <v>4511.61</v>
      </c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54">
        <f t="shared" si="12"/>
        <v>44643</v>
      </c>
      <c r="B862" s="8">
        <f t="shared" si="13"/>
        <v>289892549.4</v>
      </c>
      <c r="C862" s="8">
        <f t="shared" si="14"/>
        <v>0.0005717808219</v>
      </c>
      <c r="D862" s="8">
        <v>4456.24</v>
      </c>
      <c r="E862" s="8">
        <f t="shared" si="17"/>
        <v>-0.01227278067</v>
      </c>
      <c r="F862" s="53">
        <v>0.971123165</v>
      </c>
      <c r="G862" s="8">
        <f t="shared" si="16"/>
        <v>0.00002660611411</v>
      </c>
      <c r="H862" s="8">
        <f t="shared" si="11"/>
        <v>4456.24</v>
      </c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54">
        <f t="shared" si="12"/>
        <v>44644</v>
      </c>
      <c r="B863" s="8">
        <f t="shared" si="13"/>
        <v>290058304.4</v>
      </c>
      <c r="C863" s="8">
        <f t="shared" si="14"/>
        <v>0.0005717808219</v>
      </c>
      <c r="D863" s="8">
        <v>4520.16</v>
      </c>
      <c r="E863" s="8">
        <f t="shared" si="17"/>
        <v>0.01434393121</v>
      </c>
      <c r="F863" s="53">
        <v>0.929602701</v>
      </c>
      <c r="G863" s="8">
        <f t="shared" si="16"/>
        <v>0.00002546856715</v>
      </c>
      <c r="H863" s="8">
        <f t="shared" si="11"/>
        <v>4520.16</v>
      </c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54">
        <f t="shared" si="12"/>
        <v>44645</v>
      </c>
      <c r="B864" s="8">
        <f t="shared" si="13"/>
        <v>290224154.1</v>
      </c>
      <c r="C864" s="8">
        <f t="shared" si="14"/>
        <v>0.0005717808219</v>
      </c>
      <c r="D864" s="8">
        <v>4543.06</v>
      </c>
      <c r="E864" s="8">
        <f t="shared" si="17"/>
        <v>0.005066192347</v>
      </c>
      <c r="F864" s="53">
        <v>0.99471116</v>
      </c>
      <c r="G864" s="8">
        <f t="shared" si="16"/>
        <v>0.00002725236055</v>
      </c>
      <c r="H864" s="8">
        <f t="shared" si="11"/>
        <v>4543.06</v>
      </c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54">
        <f t="shared" si="12"/>
        <v>44646</v>
      </c>
      <c r="B865" s="8">
        <f t="shared" si="13"/>
        <v>290390098.7</v>
      </c>
      <c r="C865" s="8">
        <f t="shared" si="14"/>
        <v>0.0005717808219</v>
      </c>
      <c r="D865" s="8">
        <v>4543.06</v>
      </c>
      <c r="E865" s="8">
        <f t="shared" si="17"/>
        <v>0</v>
      </c>
      <c r="F865" s="53">
        <v>0.97607838</v>
      </c>
      <c r="G865" s="8">
        <f t="shared" si="16"/>
        <v>0.00002674187342</v>
      </c>
      <c r="H865" s="8">
        <f t="shared" si="11"/>
        <v>4543.06</v>
      </c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54">
        <f t="shared" si="12"/>
        <v>44647</v>
      </c>
      <c r="B866" s="8">
        <f t="shared" si="13"/>
        <v>290556138.2</v>
      </c>
      <c r="C866" s="8">
        <f t="shared" si="14"/>
        <v>0.0005717808219</v>
      </c>
      <c r="D866" s="8">
        <v>4543.06</v>
      </c>
      <c r="E866" s="8">
        <f t="shared" si="17"/>
        <v>0</v>
      </c>
      <c r="F866" s="53">
        <v>1.012589729</v>
      </c>
      <c r="G866" s="8">
        <f t="shared" si="16"/>
        <v>0.00002774218436</v>
      </c>
      <c r="H866" s="8">
        <f t="shared" si="11"/>
        <v>4543.06</v>
      </c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54">
        <f t="shared" si="12"/>
        <v>44648</v>
      </c>
      <c r="B867" s="8">
        <f t="shared" si="13"/>
        <v>290722272.7</v>
      </c>
      <c r="C867" s="8">
        <f t="shared" si="14"/>
        <v>0.0005717808219</v>
      </c>
      <c r="D867" s="8">
        <v>4575.52</v>
      </c>
      <c r="E867" s="8">
        <f t="shared" si="17"/>
        <v>0.007144963967</v>
      </c>
      <c r="F867" s="53">
        <v>1.032358557</v>
      </c>
      <c r="G867" s="8">
        <f t="shared" si="16"/>
        <v>0.00002828379608</v>
      </c>
      <c r="H867" s="8">
        <f t="shared" si="11"/>
        <v>4575.52</v>
      </c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54">
        <f t="shared" si="12"/>
        <v>44649</v>
      </c>
      <c r="B868" s="8">
        <f t="shared" si="13"/>
        <v>290888502.1</v>
      </c>
      <c r="C868" s="8">
        <f t="shared" si="14"/>
        <v>0.0005717808219</v>
      </c>
      <c r="D868" s="8">
        <v>4631.6</v>
      </c>
      <c r="E868" s="8">
        <f t="shared" si="17"/>
        <v>0.01225653041</v>
      </c>
      <c r="F868" s="53">
        <v>1.081835877</v>
      </c>
      <c r="G868" s="8">
        <f t="shared" si="16"/>
        <v>0.0000296393391</v>
      </c>
      <c r="H868" s="8">
        <f t="shared" si="11"/>
        <v>4631.6</v>
      </c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54">
        <f t="shared" si="12"/>
        <v>44650</v>
      </c>
      <c r="B869" s="8">
        <f t="shared" si="13"/>
        <v>291054826.5</v>
      </c>
      <c r="C869" s="8">
        <f t="shared" si="14"/>
        <v>0.0005717808219</v>
      </c>
      <c r="D869" s="8">
        <v>4602.45</v>
      </c>
      <c r="E869" s="8">
        <f t="shared" si="17"/>
        <v>-0.006293721392</v>
      </c>
      <c r="F869" s="53">
        <v>1.023222016</v>
      </c>
      <c r="G869" s="8">
        <f t="shared" si="16"/>
        <v>0.00002803347989</v>
      </c>
      <c r="H869" s="8">
        <f t="shared" si="11"/>
        <v>4602.45</v>
      </c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54">
        <f t="shared" si="12"/>
        <v>44651</v>
      </c>
      <c r="B870" s="8">
        <f t="shared" si="13"/>
        <v>291221246.1</v>
      </c>
      <c r="C870" s="8">
        <f t="shared" si="14"/>
        <v>0.0005717808219</v>
      </c>
      <c r="D870" s="8">
        <v>4530.41</v>
      </c>
      <c r="E870" s="8">
        <f t="shared" si="17"/>
        <v>-0.01565253289</v>
      </c>
      <c r="F870" s="53">
        <v>1.09395986</v>
      </c>
      <c r="G870" s="8">
        <f t="shared" si="16"/>
        <v>0.00002997150301</v>
      </c>
      <c r="H870" s="8">
        <f t="shared" si="11"/>
        <v>4530.41</v>
      </c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54">
        <f t="shared" si="12"/>
        <v>44652</v>
      </c>
      <c r="B871" s="8">
        <f t="shared" si="13"/>
        <v>291387760.8</v>
      </c>
      <c r="C871" s="8">
        <f t="shared" si="14"/>
        <v>0.0005717808219</v>
      </c>
      <c r="D871" s="8">
        <v>4545.86</v>
      </c>
      <c r="E871" s="8">
        <f t="shared" si="17"/>
        <v>0.003410287369</v>
      </c>
      <c r="F871" s="53">
        <v>0.979182384</v>
      </c>
      <c r="G871" s="8">
        <f t="shared" si="16"/>
        <v>0.00002682691463</v>
      </c>
      <c r="H871" s="8">
        <f t="shared" si="11"/>
        <v>4545.86</v>
      </c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54">
        <f t="shared" si="12"/>
        <v>44653</v>
      </c>
      <c r="B872" s="8">
        <f t="shared" si="13"/>
        <v>291554370.8</v>
      </c>
      <c r="C872" s="8">
        <f t="shared" si="14"/>
        <v>0.0005717808219</v>
      </c>
      <c r="D872" s="8">
        <v>4545.86</v>
      </c>
      <c r="E872" s="8">
        <f t="shared" si="17"/>
        <v>0</v>
      </c>
      <c r="F872" s="53">
        <v>1.095024579</v>
      </c>
      <c r="G872" s="8">
        <f t="shared" si="16"/>
        <v>0.0000300006734</v>
      </c>
      <c r="H872" s="8">
        <f t="shared" si="11"/>
        <v>4545.86</v>
      </c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54">
        <f t="shared" si="12"/>
        <v>44654</v>
      </c>
      <c r="B873" s="8">
        <f t="shared" si="13"/>
        <v>291721076</v>
      </c>
      <c r="C873" s="8">
        <f t="shared" si="14"/>
        <v>0.0005717808219</v>
      </c>
      <c r="D873" s="8">
        <v>4545.86</v>
      </c>
      <c r="E873" s="8">
        <f t="shared" si="17"/>
        <v>0</v>
      </c>
      <c r="F873" s="53">
        <v>0.973046638</v>
      </c>
      <c r="G873" s="8">
        <f t="shared" si="16"/>
        <v>0.000026658812</v>
      </c>
      <c r="H873" s="8">
        <f t="shared" si="11"/>
        <v>4545.86</v>
      </c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54">
        <f t="shared" si="12"/>
        <v>44655</v>
      </c>
      <c r="B874" s="8">
        <f t="shared" si="13"/>
        <v>291887876.5</v>
      </c>
      <c r="C874" s="8">
        <f t="shared" si="14"/>
        <v>0.0005717808219</v>
      </c>
      <c r="D874" s="8">
        <v>4582.64</v>
      </c>
      <c r="E874" s="8">
        <f t="shared" si="17"/>
        <v>0.008090878294</v>
      </c>
      <c r="F874" s="53">
        <v>1.04323414</v>
      </c>
      <c r="G874" s="8">
        <f t="shared" si="16"/>
        <v>0.00002858175726</v>
      </c>
      <c r="H874" s="8">
        <f t="shared" si="11"/>
        <v>4582.64</v>
      </c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54">
        <f t="shared" si="12"/>
        <v>44656</v>
      </c>
      <c r="B875" s="8">
        <f t="shared" si="13"/>
        <v>292054772.4</v>
      </c>
      <c r="C875" s="8">
        <f t="shared" si="14"/>
        <v>0.0005717808219</v>
      </c>
      <c r="D875" s="8">
        <v>4525.12</v>
      </c>
      <c r="E875" s="8">
        <f t="shared" si="17"/>
        <v>-0.01255171691</v>
      </c>
      <c r="F875" s="53">
        <v>1.097081102</v>
      </c>
      <c r="G875" s="8">
        <f t="shared" si="16"/>
        <v>0.00003005701649</v>
      </c>
      <c r="H875" s="8">
        <f t="shared" si="11"/>
        <v>4525.12</v>
      </c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54">
        <f t="shared" si="12"/>
        <v>44657</v>
      </c>
      <c r="B876" s="8">
        <f t="shared" si="13"/>
        <v>292221763.7</v>
      </c>
      <c r="C876" s="8">
        <f t="shared" si="14"/>
        <v>0.0005717808219</v>
      </c>
      <c r="D876" s="8">
        <v>4481.15</v>
      </c>
      <c r="E876" s="8">
        <f t="shared" si="17"/>
        <v>-0.009716869387</v>
      </c>
      <c r="F876" s="53">
        <v>1.172370383</v>
      </c>
      <c r="G876" s="8">
        <f t="shared" si="16"/>
        <v>0.00003211973652</v>
      </c>
      <c r="H876" s="8">
        <f t="shared" si="11"/>
        <v>4481.15</v>
      </c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54">
        <f t="shared" si="12"/>
        <v>44658</v>
      </c>
      <c r="B877" s="8">
        <f t="shared" si="13"/>
        <v>292388850.5</v>
      </c>
      <c r="C877" s="8">
        <f t="shared" si="14"/>
        <v>0.0005717808219</v>
      </c>
      <c r="D877" s="8">
        <v>4500.21</v>
      </c>
      <c r="E877" s="8">
        <f t="shared" si="17"/>
        <v>0.00425337246</v>
      </c>
      <c r="F877" s="53">
        <v>1.046411675</v>
      </c>
      <c r="G877" s="8">
        <f t="shared" si="16"/>
        <v>0.00002866881301</v>
      </c>
      <c r="H877" s="8">
        <f t="shared" si="11"/>
        <v>4500.21</v>
      </c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54">
        <f t="shared" si="12"/>
        <v>44659</v>
      </c>
      <c r="B878" s="8">
        <f t="shared" si="13"/>
        <v>292556032.8</v>
      </c>
      <c r="C878" s="8">
        <f t="shared" si="14"/>
        <v>0.0005717808219</v>
      </c>
      <c r="D878" s="8">
        <v>4488.28</v>
      </c>
      <c r="E878" s="8">
        <f t="shared" si="17"/>
        <v>-0.002650987398</v>
      </c>
      <c r="F878" s="53">
        <v>1.07941156</v>
      </c>
      <c r="G878" s="8">
        <f t="shared" si="16"/>
        <v>0.00002957291945</v>
      </c>
      <c r="H878" s="8">
        <f t="shared" si="11"/>
        <v>4488.28</v>
      </c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54">
        <f t="shared" si="12"/>
        <v>44660</v>
      </c>
      <c r="B879" s="8">
        <f t="shared" si="13"/>
        <v>292723310.8</v>
      </c>
      <c r="C879" s="8">
        <f t="shared" si="14"/>
        <v>0.0005717808219</v>
      </c>
      <c r="D879" s="8">
        <v>4488.28</v>
      </c>
      <c r="E879" s="8">
        <f t="shared" si="17"/>
        <v>0</v>
      </c>
      <c r="F879" s="53">
        <v>1.18600304</v>
      </c>
      <c r="G879" s="8">
        <f t="shared" si="16"/>
        <v>0.00003249323397</v>
      </c>
      <c r="H879" s="8">
        <f t="shared" si="11"/>
        <v>4488.28</v>
      </c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54">
        <f t="shared" si="12"/>
        <v>44661</v>
      </c>
      <c r="B880" s="8">
        <f t="shared" si="13"/>
        <v>292890684.3</v>
      </c>
      <c r="C880" s="8">
        <f t="shared" si="14"/>
        <v>0.0005717808219</v>
      </c>
      <c r="D880" s="8">
        <v>4488.28</v>
      </c>
      <c r="E880" s="8">
        <f t="shared" si="17"/>
        <v>0</v>
      </c>
      <c r="F880" s="53">
        <v>1.124484725</v>
      </c>
      <c r="G880" s="8">
        <f t="shared" si="16"/>
        <v>0.00003080780068</v>
      </c>
      <c r="H880" s="8">
        <f t="shared" si="11"/>
        <v>4488.28</v>
      </c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54">
        <f t="shared" si="12"/>
        <v>44662</v>
      </c>
      <c r="B881" s="8">
        <f t="shared" si="13"/>
        <v>293058153.6</v>
      </c>
      <c r="C881" s="8">
        <f t="shared" si="14"/>
        <v>0.0005717808219</v>
      </c>
      <c r="D881" s="8">
        <v>4412.53</v>
      </c>
      <c r="E881" s="8">
        <f t="shared" si="17"/>
        <v>-0.0168772893</v>
      </c>
      <c r="F881" s="53">
        <v>1.081672028</v>
      </c>
      <c r="G881" s="8">
        <f t="shared" si="16"/>
        <v>0.00002963485008</v>
      </c>
      <c r="H881" s="8">
        <f t="shared" si="11"/>
        <v>4412.53</v>
      </c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54">
        <f t="shared" si="12"/>
        <v>44663</v>
      </c>
      <c r="B882" s="8">
        <f t="shared" si="13"/>
        <v>293225718.6</v>
      </c>
      <c r="C882" s="8">
        <f t="shared" si="14"/>
        <v>0.0005717808219</v>
      </c>
      <c r="D882" s="8">
        <v>4397.45</v>
      </c>
      <c r="E882" s="8">
        <f t="shared" si="17"/>
        <v>-0.003417540504</v>
      </c>
      <c r="F882" s="53">
        <v>1.107691227</v>
      </c>
      <c r="G882" s="8">
        <f t="shared" si="16"/>
        <v>0.00003034770485</v>
      </c>
      <c r="H882" s="8">
        <f t="shared" si="11"/>
        <v>4397.45</v>
      </c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54">
        <f t="shared" si="12"/>
        <v>44664</v>
      </c>
      <c r="B883" s="8">
        <f t="shared" si="13"/>
        <v>293393379.5</v>
      </c>
      <c r="C883" s="8">
        <f t="shared" si="14"/>
        <v>0.0005717808219</v>
      </c>
      <c r="D883" s="8">
        <v>4446.59</v>
      </c>
      <c r="E883" s="8">
        <f t="shared" si="17"/>
        <v>0.01117465804</v>
      </c>
      <c r="F883" s="53">
        <v>1.214010638</v>
      </c>
      <c r="G883" s="8">
        <f t="shared" si="16"/>
        <v>0.00003326056542</v>
      </c>
      <c r="H883" s="8">
        <f t="shared" si="11"/>
        <v>4446.59</v>
      </c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54">
        <f t="shared" si="12"/>
        <v>44665</v>
      </c>
      <c r="B884" s="8">
        <f t="shared" si="13"/>
        <v>293561136.2</v>
      </c>
      <c r="C884" s="8">
        <f t="shared" si="14"/>
        <v>0.0005717808219</v>
      </c>
      <c r="D884" s="8">
        <v>4392.59</v>
      </c>
      <c r="E884" s="8">
        <f t="shared" si="17"/>
        <v>-0.01214413742</v>
      </c>
      <c r="F884" s="53">
        <v>1.265612636</v>
      </c>
      <c r="G884" s="8">
        <f t="shared" si="16"/>
        <v>0.00003467431879</v>
      </c>
      <c r="H884" s="8">
        <f t="shared" si="11"/>
        <v>4392.59</v>
      </c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54">
        <f t="shared" si="12"/>
        <v>44666</v>
      </c>
      <c r="B885" s="8">
        <f t="shared" si="13"/>
        <v>293728988.8</v>
      </c>
      <c r="C885" s="8">
        <f t="shared" si="14"/>
        <v>0.0005717808219</v>
      </c>
      <c r="D885" s="8">
        <v>4392.59</v>
      </c>
      <c r="E885" s="8">
        <f t="shared" si="17"/>
        <v>0</v>
      </c>
      <c r="F885" s="53">
        <v>1.224410401</v>
      </c>
      <c r="G885" s="8">
        <f t="shared" si="16"/>
        <v>0.00003354549044</v>
      </c>
      <c r="H885" s="8">
        <f t="shared" si="11"/>
        <v>4392.59</v>
      </c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54">
        <f t="shared" si="12"/>
        <v>44667</v>
      </c>
      <c r="B886" s="8">
        <f t="shared" si="13"/>
        <v>293896937.4</v>
      </c>
      <c r="C886" s="8">
        <f t="shared" si="14"/>
        <v>0.0005717808219</v>
      </c>
      <c r="D886" s="8">
        <v>4392.59</v>
      </c>
      <c r="E886" s="8">
        <f t="shared" si="17"/>
        <v>0</v>
      </c>
      <c r="F886" s="53">
        <v>1.181855878</v>
      </c>
      <c r="G886" s="8">
        <f t="shared" si="16"/>
        <v>0.0000323796131</v>
      </c>
      <c r="H886" s="8">
        <f t="shared" si="11"/>
        <v>4392.59</v>
      </c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54">
        <f t="shared" si="12"/>
        <v>44668</v>
      </c>
      <c r="B887" s="8">
        <f t="shared" si="13"/>
        <v>294064982.1</v>
      </c>
      <c r="C887" s="8">
        <f t="shared" si="14"/>
        <v>0.0005717808219</v>
      </c>
      <c r="D887" s="8">
        <v>4392.59</v>
      </c>
      <c r="E887" s="8">
        <f t="shared" si="17"/>
        <v>0</v>
      </c>
      <c r="F887" s="53">
        <v>1.27895051</v>
      </c>
      <c r="G887" s="8">
        <f t="shared" si="16"/>
        <v>0.00003503974</v>
      </c>
      <c r="H887" s="8">
        <f t="shared" si="11"/>
        <v>4392.59</v>
      </c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54">
        <f t="shared" si="12"/>
        <v>44669</v>
      </c>
      <c r="B888" s="8">
        <f t="shared" si="13"/>
        <v>294233122.8</v>
      </c>
      <c r="C888" s="8">
        <f t="shared" si="14"/>
        <v>0.0005717808219</v>
      </c>
      <c r="D888" s="8">
        <v>4391.69</v>
      </c>
      <c r="E888" s="8">
        <f t="shared" si="17"/>
        <v>-0.0002048905088</v>
      </c>
      <c r="F888" s="53">
        <v>1.092463428</v>
      </c>
      <c r="G888" s="8">
        <f t="shared" si="16"/>
        <v>0.00002993050488</v>
      </c>
      <c r="H888" s="8">
        <f t="shared" si="11"/>
        <v>4391.69</v>
      </c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54">
        <f t="shared" si="12"/>
        <v>44670</v>
      </c>
      <c r="B889" s="8">
        <f t="shared" si="13"/>
        <v>294401359.6</v>
      </c>
      <c r="C889" s="8">
        <f t="shared" si="14"/>
        <v>0.0005717808219</v>
      </c>
      <c r="D889" s="8">
        <v>4462.21</v>
      </c>
      <c r="E889" s="8">
        <f t="shared" si="17"/>
        <v>0.01605759969</v>
      </c>
      <c r="F889" s="53">
        <v>1.224293155</v>
      </c>
      <c r="G889" s="8">
        <f t="shared" si="16"/>
        <v>0.00003354227822</v>
      </c>
      <c r="H889" s="8">
        <f t="shared" si="11"/>
        <v>4462.21</v>
      </c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54">
        <f t="shared" si="12"/>
        <v>44671</v>
      </c>
      <c r="B890" s="8">
        <f t="shared" si="13"/>
        <v>294569692.7</v>
      </c>
      <c r="C890" s="8">
        <f t="shared" si="14"/>
        <v>0.0005717808219</v>
      </c>
      <c r="D890" s="8">
        <v>4459.45</v>
      </c>
      <c r="E890" s="8">
        <f t="shared" si="17"/>
        <v>-0.0006185275906</v>
      </c>
      <c r="F890" s="53">
        <v>1.294220528</v>
      </c>
      <c r="G890" s="8">
        <f t="shared" si="16"/>
        <v>0.00003545809666</v>
      </c>
      <c r="H890" s="8">
        <f t="shared" si="11"/>
        <v>4459.45</v>
      </c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54">
        <f t="shared" si="12"/>
        <v>44672</v>
      </c>
      <c r="B891" s="8">
        <f t="shared" si="13"/>
        <v>294738122</v>
      </c>
      <c r="C891" s="8">
        <f t="shared" si="14"/>
        <v>0.0005717808219</v>
      </c>
      <c r="D891" s="8">
        <v>4393.66</v>
      </c>
      <c r="E891" s="8">
        <f t="shared" si="17"/>
        <v>-0.01475294039</v>
      </c>
      <c r="F891" s="53">
        <v>1.252155944</v>
      </c>
      <c r="G891" s="8">
        <f t="shared" si="16"/>
        <v>0.0000343056423</v>
      </c>
      <c r="H891" s="8">
        <f t="shared" si="11"/>
        <v>4393.66</v>
      </c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54">
        <f t="shared" si="12"/>
        <v>44673</v>
      </c>
      <c r="B892" s="8">
        <f t="shared" si="13"/>
        <v>294906647.6</v>
      </c>
      <c r="C892" s="8">
        <f t="shared" si="14"/>
        <v>0.0005717808219</v>
      </c>
      <c r="D892" s="8">
        <v>4271.78</v>
      </c>
      <c r="E892" s="8">
        <f t="shared" si="17"/>
        <v>-0.02773997078</v>
      </c>
      <c r="F892" s="53">
        <v>1.296559353</v>
      </c>
      <c r="G892" s="8">
        <f t="shared" si="16"/>
        <v>0.00003552217405</v>
      </c>
      <c r="H892" s="8">
        <f t="shared" si="11"/>
        <v>4271.78</v>
      </c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54">
        <f t="shared" si="12"/>
        <v>44674</v>
      </c>
      <c r="B893" s="8">
        <f t="shared" si="13"/>
        <v>295075269.6</v>
      </c>
      <c r="C893" s="8">
        <f t="shared" si="14"/>
        <v>0.0005717808219</v>
      </c>
      <c r="D893" s="8">
        <v>4271.78</v>
      </c>
      <c r="E893" s="8">
        <f t="shared" si="17"/>
        <v>0</v>
      </c>
      <c r="F893" s="53">
        <v>1.289455939</v>
      </c>
      <c r="G893" s="8">
        <f t="shared" si="16"/>
        <v>0.00003532755997</v>
      </c>
      <c r="H893" s="8">
        <f t="shared" si="11"/>
        <v>4271.78</v>
      </c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54">
        <f t="shared" si="12"/>
        <v>44675</v>
      </c>
      <c r="B894" s="8">
        <f t="shared" si="13"/>
        <v>295243987.9</v>
      </c>
      <c r="C894" s="8">
        <f t="shared" si="14"/>
        <v>0.0005717808219</v>
      </c>
      <c r="D894" s="8">
        <v>4271.78</v>
      </c>
      <c r="E894" s="8">
        <f t="shared" si="17"/>
        <v>0</v>
      </c>
      <c r="F894" s="53">
        <v>1.28857271</v>
      </c>
      <c r="G894" s="8">
        <f t="shared" si="16"/>
        <v>0.00003530336192</v>
      </c>
      <c r="H894" s="8">
        <f t="shared" si="11"/>
        <v>4271.78</v>
      </c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54">
        <f t="shared" si="12"/>
        <v>44676</v>
      </c>
      <c r="B895" s="8">
        <f t="shared" si="13"/>
        <v>295412802.8</v>
      </c>
      <c r="C895" s="8">
        <f t="shared" si="14"/>
        <v>0.0005717808219</v>
      </c>
      <c r="D895" s="8">
        <v>4296.12</v>
      </c>
      <c r="E895" s="8">
        <f t="shared" si="17"/>
        <v>0.005697858972</v>
      </c>
      <c r="F895" s="53">
        <v>1.227023723</v>
      </c>
      <c r="G895" s="8">
        <f t="shared" si="16"/>
        <v>0.0000336170883</v>
      </c>
      <c r="H895" s="8">
        <f t="shared" si="11"/>
        <v>4296.12</v>
      </c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54">
        <f t="shared" si="12"/>
        <v>44677</v>
      </c>
      <c r="B896" s="8">
        <f t="shared" si="13"/>
        <v>295581714.2</v>
      </c>
      <c r="C896" s="8">
        <f t="shared" si="14"/>
        <v>0.0005717808219</v>
      </c>
      <c r="D896" s="8">
        <v>4175.2</v>
      </c>
      <c r="E896" s="8">
        <f t="shared" si="17"/>
        <v>-0.02814632738</v>
      </c>
      <c r="F896" s="53">
        <v>1.248224772</v>
      </c>
      <c r="G896" s="8">
        <f t="shared" si="16"/>
        <v>0.00003419793896</v>
      </c>
      <c r="H896" s="8">
        <f t="shared" si="11"/>
        <v>4175.2</v>
      </c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54">
        <f t="shared" si="12"/>
        <v>44678</v>
      </c>
      <c r="B897" s="8">
        <f t="shared" si="13"/>
        <v>295750722.1</v>
      </c>
      <c r="C897" s="8">
        <f t="shared" si="14"/>
        <v>0.0005717808219</v>
      </c>
      <c r="D897" s="8">
        <v>4183.96</v>
      </c>
      <c r="E897" s="8">
        <f t="shared" si="17"/>
        <v>0.002098103085</v>
      </c>
      <c r="F897" s="53">
        <v>1.365480472</v>
      </c>
      <c r="G897" s="8">
        <f t="shared" si="16"/>
        <v>0.00003741042389</v>
      </c>
      <c r="H897" s="8">
        <f t="shared" si="11"/>
        <v>4183.96</v>
      </c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54">
        <f t="shared" si="12"/>
        <v>44679</v>
      </c>
      <c r="B898" s="8">
        <f t="shared" si="13"/>
        <v>295919826.7</v>
      </c>
      <c r="C898" s="8">
        <f t="shared" si="14"/>
        <v>0.0005717808219</v>
      </c>
      <c r="D898" s="8">
        <v>4287.5</v>
      </c>
      <c r="E898" s="8">
        <f t="shared" si="17"/>
        <v>0.02474689051</v>
      </c>
      <c r="F898" s="53">
        <v>1.317699151</v>
      </c>
      <c r="G898" s="8">
        <f t="shared" si="16"/>
        <v>0.0000361013466</v>
      </c>
      <c r="H898" s="8">
        <f t="shared" si="11"/>
        <v>4287.5</v>
      </c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54">
        <f t="shared" si="12"/>
        <v>44680</v>
      </c>
      <c r="B899" s="8">
        <f t="shared" si="13"/>
        <v>296089028</v>
      </c>
      <c r="C899" s="8">
        <f t="shared" si="14"/>
        <v>0.0005717808219</v>
      </c>
      <c r="D899" s="8">
        <v>4131.93</v>
      </c>
      <c r="E899" s="8">
        <f t="shared" si="17"/>
        <v>-0.0362845481</v>
      </c>
      <c r="F899" s="53">
        <v>1.334937752</v>
      </c>
      <c r="G899" s="8">
        <f t="shared" si="16"/>
        <v>0.00003657363704</v>
      </c>
      <c r="H899" s="8">
        <f t="shared" si="11"/>
        <v>4131.93</v>
      </c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54">
        <f t="shared" si="12"/>
        <v>44681</v>
      </c>
      <c r="B900" s="8">
        <f t="shared" si="13"/>
        <v>296258326</v>
      </c>
      <c r="C900" s="8">
        <f t="shared" si="14"/>
        <v>0.0005717808219</v>
      </c>
      <c r="D900" s="8">
        <v>4131.93</v>
      </c>
      <c r="E900" s="8">
        <f t="shared" si="17"/>
        <v>0</v>
      </c>
      <c r="F900" s="53">
        <v>1.266064217</v>
      </c>
      <c r="G900" s="8">
        <f t="shared" si="16"/>
        <v>0.00003468669088</v>
      </c>
      <c r="H900" s="8">
        <f t="shared" si="11"/>
        <v>4131.93</v>
      </c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54">
        <f t="shared" si="12"/>
        <v>44682</v>
      </c>
      <c r="B901" s="8">
        <f t="shared" si="13"/>
        <v>296427720.8</v>
      </c>
      <c r="C901" s="8">
        <f t="shared" si="14"/>
        <v>0.0005717808219</v>
      </c>
      <c r="D901" s="8">
        <v>4131.93</v>
      </c>
      <c r="E901" s="8">
        <f t="shared" si="17"/>
        <v>0</v>
      </c>
      <c r="F901" s="53">
        <v>1.305647374</v>
      </c>
      <c r="G901" s="8">
        <f t="shared" si="16"/>
        <v>0.00003577116093</v>
      </c>
      <c r="H901" s="8">
        <f t="shared" si="11"/>
        <v>4131.93</v>
      </c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54">
        <f t="shared" si="12"/>
        <v>44683</v>
      </c>
      <c r="B902" s="8">
        <f t="shared" si="13"/>
        <v>296597212.5</v>
      </c>
      <c r="C902" s="8">
        <f t="shared" si="14"/>
        <v>0.0005717808219</v>
      </c>
      <c r="D902" s="8">
        <v>4155.38</v>
      </c>
      <c r="E902" s="8">
        <f t="shared" si="17"/>
        <v>0.005675313957</v>
      </c>
      <c r="F902" s="53">
        <v>1.364690163</v>
      </c>
      <c r="G902" s="8">
        <f t="shared" si="16"/>
        <v>0.00003738877159</v>
      </c>
      <c r="H902" s="8">
        <f t="shared" si="11"/>
        <v>4155.38</v>
      </c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54">
        <f t="shared" si="12"/>
        <v>44684</v>
      </c>
      <c r="B903" s="8">
        <f t="shared" si="13"/>
        <v>296766801.1</v>
      </c>
      <c r="C903" s="8">
        <f t="shared" si="14"/>
        <v>0.0005717808219</v>
      </c>
      <c r="D903" s="8">
        <v>4175.48</v>
      </c>
      <c r="E903" s="8">
        <f t="shared" si="17"/>
        <v>0.004837102744</v>
      </c>
      <c r="F903" s="53">
        <v>1.34296333</v>
      </c>
      <c r="G903" s="8">
        <f t="shared" si="16"/>
        <v>0.00003679351589</v>
      </c>
      <c r="H903" s="8">
        <f t="shared" si="11"/>
        <v>4175.48</v>
      </c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54">
        <f t="shared" si="12"/>
        <v>44685</v>
      </c>
      <c r="B904" s="8">
        <f t="shared" si="13"/>
        <v>296936486.7</v>
      </c>
      <c r="C904" s="8">
        <f t="shared" si="14"/>
        <v>0.0005717808219</v>
      </c>
      <c r="D904" s="8">
        <v>4300.17</v>
      </c>
      <c r="E904" s="8">
        <f t="shared" si="17"/>
        <v>0.02986243498</v>
      </c>
      <c r="F904" s="53">
        <v>1.348615314</v>
      </c>
      <c r="G904" s="8">
        <f t="shared" si="16"/>
        <v>0.00003694836477</v>
      </c>
      <c r="H904" s="8">
        <f t="shared" si="11"/>
        <v>4300.17</v>
      </c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54">
        <f t="shared" si="12"/>
        <v>44686</v>
      </c>
      <c r="B905" s="8">
        <f t="shared" si="13"/>
        <v>297106269.3</v>
      </c>
      <c r="C905" s="8">
        <f t="shared" si="14"/>
        <v>0.0005717808219</v>
      </c>
      <c r="D905" s="8">
        <v>4146.87</v>
      </c>
      <c r="E905" s="8">
        <f t="shared" si="17"/>
        <v>-0.03564975338</v>
      </c>
      <c r="F905" s="53">
        <v>1.275589314</v>
      </c>
      <c r="G905" s="8">
        <f t="shared" si="16"/>
        <v>0.00003494765244</v>
      </c>
      <c r="H905" s="8">
        <f t="shared" si="11"/>
        <v>4146.87</v>
      </c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54">
        <f t="shared" si="12"/>
        <v>44687</v>
      </c>
      <c r="B906" s="8">
        <f t="shared" si="13"/>
        <v>297276149</v>
      </c>
      <c r="C906" s="8">
        <f t="shared" si="14"/>
        <v>0.0005717808219</v>
      </c>
      <c r="D906" s="8">
        <v>4123.34</v>
      </c>
      <c r="E906" s="8">
        <f t="shared" si="17"/>
        <v>-0.005674159065</v>
      </c>
      <c r="F906" s="53">
        <v>1.375540629</v>
      </c>
      <c r="G906" s="8">
        <f t="shared" si="16"/>
        <v>0.00003768604463</v>
      </c>
      <c r="H906" s="8">
        <f t="shared" si="11"/>
        <v>4123.34</v>
      </c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54">
        <f t="shared" si="12"/>
        <v>44688</v>
      </c>
      <c r="B907" s="8">
        <f t="shared" si="13"/>
        <v>297446125.8</v>
      </c>
      <c r="C907" s="8">
        <f t="shared" si="14"/>
        <v>0.0005717808219</v>
      </c>
      <c r="D907" s="8">
        <v>4123.34</v>
      </c>
      <c r="E907" s="8">
        <f t="shared" si="17"/>
        <v>0</v>
      </c>
      <c r="F907" s="53">
        <v>1.441551774</v>
      </c>
      <c r="G907" s="8">
        <f t="shared" si="16"/>
        <v>0.00003949456915</v>
      </c>
      <c r="H907" s="8">
        <f t="shared" si="11"/>
        <v>4123.34</v>
      </c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54">
        <f t="shared" si="12"/>
        <v>44689</v>
      </c>
      <c r="B908" s="8">
        <f t="shared" si="13"/>
        <v>297616199.7</v>
      </c>
      <c r="C908" s="8">
        <f t="shared" si="14"/>
        <v>0.0005717808219</v>
      </c>
      <c r="D908" s="8">
        <v>4123.34</v>
      </c>
      <c r="E908" s="8">
        <f t="shared" si="17"/>
        <v>0</v>
      </c>
      <c r="F908" s="53">
        <v>1.435720316</v>
      </c>
      <c r="G908" s="8">
        <f t="shared" si="16"/>
        <v>0.00003933480318</v>
      </c>
      <c r="H908" s="8">
        <f t="shared" si="11"/>
        <v>4123.34</v>
      </c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54">
        <f t="shared" si="12"/>
        <v>44690</v>
      </c>
      <c r="B909" s="8">
        <f t="shared" si="13"/>
        <v>297786371</v>
      </c>
      <c r="C909" s="8">
        <f t="shared" si="14"/>
        <v>0.0005717808219</v>
      </c>
      <c r="D909" s="8">
        <v>3991.24</v>
      </c>
      <c r="E909" s="8">
        <f t="shared" si="17"/>
        <v>-0.03203713494</v>
      </c>
      <c r="F909" s="53">
        <v>1.423334499</v>
      </c>
      <c r="G909" s="8">
        <f t="shared" si="16"/>
        <v>0.00003899546573</v>
      </c>
      <c r="H909" s="8">
        <f t="shared" si="11"/>
        <v>3991.24</v>
      </c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54">
        <f t="shared" si="12"/>
        <v>44691</v>
      </c>
      <c r="B910" s="8">
        <f t="shared" si="13"/>
        <v>297956639.5</v>
      </c>
      <c r="C910" s="8">
        <f t="shared" si="14"/>
        <v>0.0005717808219</v>
      </c>
      <c r="D910" s="8">
        <v>4001.05</v>
      </c>
      <c r="E910" s="8">
        <f t="shared" si="17"/>
        <v>0.002457882763</v>
      </c>
      <c r="F910" s="53">
        <v>1.468443262</v>
      </c>
      <c r="G910" s="8">
        <f t="shared" si="16"/>
        <v>0.00004023132225</v>
      </c>
      <c r="H910" s="8">
        <f t="shared" si="11"/>
        <v>4001.05</v>
      </c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54">
        <f t="shared" si="12"/>
        <v>44692</v>
      </c>
      <c r="B911" s="8">
        <f t="shared" si="13"/>
        <v>298127005.4</v>
      </c>
      <c r="C911" s="8">
        <f t="shared" si="14"/>
        <v>0.0005717808219</v>
      </c>
      <c r="D911" s="8">
        <v>3935.18</v>
      </c>
      <c r="E911" s="8">
        <f t="shared" si="17"/>
        <v>-0.01646317842</v>
      </c>
      <c r="F911" s="53">
        <v>1.46944051</v>
      </c>
      <c r="G911" s="8">
        <f t="shared" si="16"/>
        <v>0.00004025864411</v>
      </c>
      <c r="H911" s="8">
        <f t="shared" si="11"/>
        <v>3935.18</v>
      </c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54">
        <f t="shared" si="12"/>
        <v>44693</v>
      </c>
      <c r="B912" s="8">
        <f t="shared" si="13"/>
        <v>298297468.7</v>
      </c>
      <c r="C912" s="8">
        <f t="shared" si="14"/>
        <v>0.0005717808219</v>
      </c>
      <c r="D912" s="8">
        <v>3930.08</v>
      </c>
      <c r="E912" s="8">
        <f t="shared" si="17"/>
        <v>-0.001296001708</v>
      </c>
      <c r="F912" s="53">
        <v>1.424883668</v>
      </c>
      <c r="G912" s="8">
        <f t="shared" si="16"/>
        <v>0.00003903790871</v>
      </c>
      <c r="H912" s="8">
        <f t="shared" si="11"/>
        <v>3930.08</v>
      </c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54">
        <f t="shared" si="12"/>
        <v>44694</v>
      </c>
      <c r="B913" s="8">
        <f t="shared" si="13"/>
        <v>298468029.5</v>
      </c>
      <c r="C913" s="8">
        <f t="shared" si="14"/>
        <v>0.0005717808219</v>
      </c>
      <c r="D913" s="8">
        <v>4023.89</v>
      </c>
      <c r="E913" s="8">
        <f t="shared" si="17"/>
        <v>0.02386974311</v>
      </c>
      <c r="F913" s="53">
        <v>1.521501539</v>
      </c>
      <c r="G913" s="8">
        <f t="shared" si="16"/>
        <v>0.00004168497367</v>
      </c>
      <c r="H913" s="8">
        <f t="shared" si="11"/>
        <v>4023.89</v>
      </c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54">
        <f t="shared" si="12"/>
        <v>44695</v>
      </c>
      <c r="B914" s="8">
        <f t="shared" si="13"/>
        <v>298638687.8</v>
      </c>
      <c r="C914" s="8">
        <f t="shared" si="14"/>
        <v>0.0005717808219</v>
      </c>
      <c r="D914" s="8">
        <v>4023.89</v>
      </c>
      <c r="E914" s="8">
        <f t="shared" si="17"/>
        <v>0</v>
      </c>
      <c r="F914" s="53">
        <v>1.538299821</v>
      </c>
      <c r="G914" s="8">
        <f t="shared" si="16"/>
        <v>0.00004214520058</v>
      </c>
      <c r="H914" s="8">
        <f t="shared" si="11"/>
        <v>4023.89</v>
      </c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54">
        <f t="shared" si="12"/>
        <v>44696</v>
      </c>
      <c r="B915" s="8">
        <f t="shared" si="13"/>
        <v>298809443.7</v>
      </c>
      <c r="C915" s="8">
        <f t="shared" si="14"/>
        <v>0.0005717808219</v>
      </c>
      <c r="D915" s="8">
        <v>4023.89</v>
      </c>
      <c r="E915" s="8">
        <f t="shared" si="17"/>
        <v>0</v>
      </c>
      <c r="F915" s="53">
        <v>1.5141299</v>
      </c>
      <c r="G915" s="8">
        <f t="shared" si="16"/>
        <v>0.00004148301096</v>
      </c>
      <c r="H915" s="8">
        <f t="shared" si="11"/>
        <v>4023.89</v>
      </c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54">
        <f t="shared" si="12"/>
        <v>44697</v>
      </c>
      <c r="B916" s="8">
        <f t="shared" si="13"/>
        <v>298980297.2</v>
      </c>
      <c r="C916" s="8">
        <f t="shared" si="14"/>
        <v>0.0005717808219</v>
      </c>
      <c r="D916" s="8">
        <v>4008.01</v>
      </c>
      <c r="E916" s="8">
        <f t="shared" si="17"/>
        <v>-0.003946429947</v>
      </c>
      <c r="F916" s="53">
        <v>1.463983936</v>
      </c>
      <c r="G916" s="8">
        <f t="shared" si="16"/>
        <v>0.00004010914893</v>
      </c>
      <c r="H916" s="8">
        <f t="shared" si="11"/>
        <v>4008.01</v>
      </c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54">
        <f t="shared" si="12"/>
        <v>44698</v>
      </c>
      <c r="B917" s="8">
        <f t="shared" si="13"/>
        <v>299151248.4</v>
      </c>
      <c r="C917" s="8">
        <f t="shared" si="14"/>
        <v>0.0005717808219</v>
      </c>
      <c r="D917" s="8">
        <v>4088.85</v>
      </c>
      <c r="E917" s="8">
        <f t="shared" si="17"/>
        <v>0.02016961036</v>
      </c>
      <c r="F917" s="53">
        <v>1.442423823</v>
      </c>
      <c r="G917" s="8">
        <f t="shared" si="16"/>
        <v>0.0000395184609</v>
      </c>
      <c r="H917" s="8">
        <f t="shared" si="11"/>
        <v>4088.85</v>
      </c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54">
        <f t="shared" si="12"/>
        <v>44699</v>
      </c>
      <c r="B918" s="8">
        <f t="shared" si="13"/>
        <v>299322297.3</v>
      </c>
      <c r="C918" s="8">
        <f t="shared" si="14"/>
        <v>0.0005717808219</v>
      </c>
      <c r="D918" s="8">
        <v>3923.68</v>
      </c>
      <c r="E918" s="8">
        <f t="shared" si="17"/>
        <v>-0.04039522115</v>
      </c>
      <c r="F918" s="53">
        <v>1.544214817</v>
      </c>
      <c r="G918" s="8">
        <f t="shared" si="16"/>
        <v>0.00004230725526</v>
      </c>
      <c r="H918" s="8">
        <f t="shared" si="11"/>
        <v>3923.68</v>
      </c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54">
        <f t="shared" si="12"/>
        <v>44700</v>
      </c>
      <c r="B919" s="8">
        <f t="shared" si="13"/>
        <v>299493444.1</v>
      </c>
      <c r="C919" s="8">
        <f t="shared" si="14"/>
        <v>0.0005717808219</v>
      </c>
      <c r="D919" s="8">
        <v>3900.79</v>
      </c>
      <c r="E919" s="8">
        <f t="shared" si="17"/>
        <v>-0.005833809077</v>
      </c>
      <c r="F919" s="53">
        <v>1.518169126</v>
      </c>
      <c r="G919" s="8">
        <f t="shared" si="16"/>
        <v>0.00004159367468</v>
      </c>
      <c r="H919" s="8">
        <f t="shared" si="11"/>
        <v>3900.79</v>
      </c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54">
        <f t="shared" si="12"/>
        <v>44701</v>
      </c>
      <c r="B920" s="8">
        <f t="shared" si="13"/>
        <v>299664688.7</v>
      </c>
      <c r="C920" s="8">
        <f t="shared" si="14"/>
        <v>0.0005717808219</v>
      </c>
      <c r="D920" s="8">
        <v>3901.36</v>
      </c>
      <c r="E920" s="8">
        <f t="shared" si="17"/>
        <v>0.0001461242466</v>
      </c>
      <c r="F920" s="53">
        <v>1.529409598</v>
      </c>
      <c r="G920" s="8">
        <f t="shared" si="16"/>
        <v>0.00004190163282</v>
      </c>
      <c r="H920" s="8">
        <f t="shared" si="11"/>
        <v>3901.36</v>
      </c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54">
        <f t="shared" si="12"/>
        <v>44702</v>
      </c>
      <c r="B921" s="8">
        <f t="shared" si="13"/>
        <v>299836031.2</v>
      </c>
      <c r="C921" s="8">
        <f t="shared" si="14"/>
        <v>0.0005717808219</v>
      </c>
      <c r="D921" s="8">
        <v>3901.36</v>
      </c>
      <c r="E921" s="8">
        <f t="shared" si="17"/>
        <v>0</v>
      </c>
      <c r="F921" s="53">
        <v>1.584273505</v>
      </c>
      <c r="G921" s="8">
        <f t="shared" si="16"/>
        <v>0.00004340475356</v>
      </c>
      <c r="H921" s="8">
        <f t="shared" si="11"/>
        <v>3901.36</v>
      </c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54">
        <f t="shared" si="12"/>
        <v>44703</v>
      </c>
      <c r="B922" s="8">
        <f t="shared" si="13"/>
        <v>300007471.7</v>
      </c>
      <c r="C922" s="8">
        <f t="shared" si="14"/>
        <v>0.0005717808219</v>
      </c>
      <c r="D922" s="8">
        <v>3901.36</v>
      </c>
      <c r="E922" s="8">
        <f t="shared" si="17"/>
        <v>0</v>
      </c>
      <c r="F922" s="53">
        <v>1.564131508</v>
      </c>
      <c r="G922" s="8">
        <f t="shared" si="16"/>
        <v>0.00004285291803</v>
      </c>
      <c r="H922" s="8">
        <f t="shared" si="11"/>
        <v>3901.36</v>
      </c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54">
        <f t="shared" si="12"/>
        <v>44704</v>
      </c>
      <c r="B923" s="8">
        <f t="shared" si="13"/>
        <v>300179010.2</v>
      </c>
      <c r="C923" s="8">
        <f t="shared" si="14"/>
        <v>0.0005717808219</v>
      </c>
      <c r="D923" s="8">
        <v>3973.75</v>
      </c>
      <c r="E923" s="8">
        <f t="shared" si="17"/>
        <v>0.01855506798</v>
      </c>
      <c r="F923" s="53">
        <v>1.660705629</v>
      </c>
      <c r="G923" s="8">
        <f t="shared" si="16"/>
        <v>0.00004549878436</v>
      </c>
      <c r="H923" s="8">
        <f t="shared" si="11"/>
        <v>3973.75</v>
      </c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54">
        <f t="shared" si="12"/>
        <v>44705</v>
      </c>
      <c r="B924" s="8">
        <f t="shared" si="13"/>
        <v>300350646.8</v>
      </c>
      <c r="C924" s="8">
        <f t="shared" si="14"/>
        <v>0.0005717808219</v>
      </c>
      <c r="D924" s="8">
        <v>3941.48</v>
      </c>
      <c r="E924" s="8">
        <f t="shared" si="17"/>
        <v>-0.008120792702</v>
      </c>
      <c r="F924" s="53">
        <v>1.496214328</v>
      </c>
      <c r="G924" s="8">
        <f t="shared" si="16"/>
        <v>0.00004099217337</v>
      </c>
      <c r="H924" s="8">
        <f t="shared" si="11"/>
        <v>3941.48</v>
      </c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54">
        <f t="shared" si="12"/>
        <v>44706</v>
      </c>
      <c r="B925" s="8">
        <f t="shared" si="13"/>
        <v>300522381.5</v>
      </c>
      <c r="C925" s="8">
        <f t="shared" si="14"/>
        <v>0.0005717808219</v>
      </c>
      <c r="D925" s="8">
        <v>3978.73</v>
      </c>
      <c r="E925" s="8">
        <f t="shared" si="17"/>
        <v>0.009450764687</v>
      </c>
      <c r="F925" s="53">
        <v>1.652127151</v>
      </c>
      <c r="G925" s="8">
        <f t="shared" si="16"/>
        <v>0.00004526375756</v>
      </c>
      <c r="H925" s="8">
        <f t="shared" si="11"/>
        <v>3978.73</v>
      </c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54">
        <f t="shared" si="12"/>
        <v>44707</v>
      </c>
      <c r="B926" s="8">
        <f t="shared" si="13"/>
        <v>300694214.5</v>
      </c>
      <c r="C926" s="8">
        <f t="shared" si="14"/>
        <v>0.0005717808219</v>
      </c>
      <c r="D926" s="8">
        <v>4057.84</v>
      </c>
      <c r="E926" s="8">
        <f t="shared" si="17"/>
        <v>0.01988322907</v>
      </c>
      <c r="F926" s="53">
        <v>1.472032217</v>
      </c>
      <c r="G926" s="8">
        <f t="shared" si="16"/>
        <v>0.00004032964978</v>
      </c>
      <c r="H926" s="8">
        <f t="shared" si="11"/>
        <v>4057.84</v>
      </c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54">
        <f t="shared" si="12"/>
        <v>44708</v>
      </c>
      <c r="B927" s="8">
        <f t="shared" si="13"/>
        <v>300866145.7</v>
      </c>
      <c r="C927" s="8">
        <f t="shared" si="14"/>
        <v>0.0005717808219</v>
      </c>
      <c r="D927" s="8">
        <v>4158.24</v>
      </c>
      <c r="E927" s="8">
        <f t="shared" si="17"/>
        <v>0.02474222739</v>
      </c>
      <c r="F927" s="53">
        <v>1.778028589</v>
      </c>
      <c r="G927" s="8">
        <f t="shared" si="16"/>
        <v>0.00004871311203</v>
      </c>
      <c r="H927" s="8">
        <f t="shared" si="11"/>
        <v>4158.24</v>
      </c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54">
        <f t="shared" si="12"/>
        <v>44709</v>
      </c>
      <c r="B928" s="8">
        <f t="shared" si="13"/>
        <v>301038175.1</v>
      </c>
      <c r="C928" s="8">
        <f t="shared" si="14"/>
        <v>0.0005717808219</v>
      </c>
      <c r="D928" s="8">
        <v>4158.24</v>
      </c>
      <c r="E928" s="8">
        <f t="shared" si="17"/>
        <v>0</v>
      </c>
      <c r="F928" s="53">
        <v>1.623055609</v>
      </c>
      <c r="G928" s="8">
        <f t="shared" si="16"/>
        <v>0.00004446727696</v>
      </c>
      <c r="H928" s="8">
        <f t="shared" si="11"/>
        <v>4158.24</v>
      </c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54">
        <f t="shared" si="12"/>
        <v>44710</v>
      </c>
      <c r="B929" s="8">
        <f t="shared" si="13"/>
        <v>301210303</v>
      </c>
      <c r="C929" s="8">
        <f t="shared" si="14"/>
        <v>0.0005717808219</v>
      </c>
      <c r="D929" s="8">
        <v>4158.24</v>
      </c>
      <c r="E929" s="8">
        <f t="shared" si="17"/>
        <v>0</v>
      </c>
      <c r="F929" s="53">
        <v>1.704750662</v>
      </c>
      <c r="G929" s="8">
        <f t="shared" si="16"/>
        <v>0.00004670549759</v>
      </c>
      <c r="H929" s="8">
        <f t="shared" si="11"/>
        <v>4158.24</v>
      </c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54">
        <f t="shared" si="12"/>
        <v>44711</v>
      </c>
      <c r="B930" s="8">
        <f t="shared" si="13"/>
        <v>301382529.3</v>
      </c>
      <c r="C930" s="8">
        <f t="shared" si="14"/>
        <v>0.0005717808219</v>
      </c>
      <c r="D930" s="8">
        <v>4158.24</v>
      </c>
      <c r="E930" s="8">
        <f t="shared" si="17"/>
        <v>0</v>
      </c>
      <c r="F930" s="53">
        <v>1.554582703</v>
      </c>
      <c r="G930" s="8">
        <f t="shared" si="16"/>
        <v>0.00004259130693</v>
      </c>
      <c r="H930" s="8">
        <f t="shared" si="11"/>
        <v>4158.24</v>
      </c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54">
        <f t="shared" si="12"/>
        <v>44712</v>
      </c>
      <c r="B931" s="8">
        <f t="shared" si="13"/>
        <v>301554854</v>
      </c>
      <c r="C931" s="8">
        <f t="shared" si="14"/>
        <v>0.0005717808219</v>
      </c>
      <c r="D931" s="8">
        <v>4132.15</v>
      </c>
      <c r="E931" s="8">
        <f t="shared" si="17"/>
        <v>-0.006274289122</v>
      </c>
      <c r="F931" s="53">
        <v>1.722312162</v>
      </c>
      <c r="G931" s="8">
        <f t="shared" si="16"/>
        <v>0.00004718663458</v>
      </c>
      <c r="H931" s="8">
        <f t="shared" si="11"/>
        <v>4132.15</v>
      </c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54">
        <f t="shared" si="12"/>
        <v>44713</v>
      </c>
      <c r="B932" s="8">
        <f t="shared" si="13"/>
        <v>301727277.3</v>
      </c>
      <c r="C932" s="8">
        <f t="shared" si="14"/>
        <v>0.0005717808219</v>
      </c>
      <c r="D932" s="8">
        <v>4101.23</v>
      </c>
      <c r="E932" s="8">
        <f t="shared" si="17"/>
        <v>-0.007482787411</v>
      </c>
      <c r="F932" s="53">
        <v>1.610849966</v>
      </c>
      <c r="G932" s="8">
        <f t="shared" si="16"/>
        <v>0.00004413287578</v>
      </c>
      <c r="H932" s="8">
        <f t="shared" si="11"/>
        <v>4101.23</v>
      </c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54">
        <f t="shared" si="12"/>
        <v>44714</v>
      </c>
      <c r="B933" s="8">
        <f t="shared" si="13"/>
        <v>301899799.2</v>
      </c>
      <c r="C933" s="8">
        <f t="shared" si="14"/>
        <v>0.0005717808219</v>
      </c>
      <c r="D933" s="8">
        <v>4176.82</v>
      </c>
      <c r="E933" s="8">
        <f t="shared" si="17"/>
        <v>0.01843105605</v>
      </c>
      <c r="F933" s="53">
        <v>1.702623991</v>
      </c>
      <c r="G933" s="8">
        <f t="shared" si="16"/>
        <v>0.00004664723263</v>
      </c>
      <c r="H933" s="8">
        <f t="shared" si="11"/>
        <v>4176.82</v>
      </c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54">
        <f t="shared" si="12"/>
        <v>44715</v>
      </c>
      <c r="B934" s="8">
        <f t="shared" si="13"/>
        <v>302072419.7</v>
      </c>
      <c r="C934" s="8">
        <f t="shared" si="14"/>
        <v>0.0005717808219</v>
      </c>
      <c r="D934" s="8">
        <v>4108.54</v>
      </c>
      <c r="E934" s="8">
        <f t="shared" si="17"/>
        <v>-0.01634736474</v>
      </c>
      <c r="F934" s="53">
        <v>1.689109663</v>
      </c>
      <c r="G934" s="8">
        <f t="shared" si="16"/>
        <v>0.00004627697707</v>
      </c>
      <c r="H934" s="8">
        <f t="shared" si="11"/>
        <v>4108.54</v>
      </c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54">
        <f t="shared" si="12"/>
        <v>44716</v>
      </c>
      <c r="B935" s="8">
        <f t="shared" si="13"/>
        <v>302245138.9</v>
      </c>
      <c r="C935" s="8">
        <f t="shared" si="14"/>
        <v>0.0005717808219</v>
      </c>
      <c r="D935" s="8">
        <v>4108.54</v>
      </c>
      <c r="E935" s="8">
        <f t="shared" si="17"/>
        <v>0</v>
      </c>
      <c r="F935" s="53">
        <v>1.704235933</v>
      </c>
      <c r="G935" s="8">
        <f t="shared" si="16"/>
        <v>0.00004669139542</v>
      </c>
      <c r="H935" s="8">
        <f t="shared" si="11"/>
        <v>4108.54</v>
      </c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54">
        <f t="shared" si="12"/>
        <v>44717</v>
      </c>
      <c r="B936" s="8">
        <f t="shared" si="13"/>
        <v>302417956.9</v>
      </c>
      <c r="C936" s="8">
        <f t="shared" si="14"/>
        <v>0.0005717808219</v>
      </c>
      <c r="D936" s="8">
        <v>4108.54</v>
      </c>
      <c r="E936" s="8">
        <f t="shared" si="17"/>
        <v>0</v>
      </c>
      <c r="F936" s="53">
        <v>1.753885827</v>
      </c>
      <c r="G936" s="8">
        <f t="shared" si="16"/>
        <v>0.00004805166649</v>
      </c>
      <c r="H936" s="8">
        <f t="shared" si="11"/>
        <v>4108.54</v>
      </c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54">
        <f t="shared" si="12"/>
        <v>44718</v>
      </c>
      <c r="B937" s="8">
        <f t="shared" si="13"/>
        <v>302590873.7</v>
      </c>
      <c r="C937" s="8">
        <f t="shared" si="14"/>
        <v>0.0005717808219</v>
      </c>
      <c r="D937" s="8">
        <v>4121.43</v>
      </c>
      <c r="E937" s="8">
        <f t="shared" si="17"/>
        <v>0.003137367532</v>
      </c>
      <c r="F937" s="53">
        <v>1.72095789</v>
      </c>
      <c r="G937" s="8">
        <f t="shared" si="16"/>
        <v>0.00004714953123</v>
      </c>
      <c r="H937" s="8">
        <f t="shared" si="11"/>
        <v>4121.43</v>
      </c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54">
        <f t="shared" si="12"/>
        <v>44719</v>
      </c>
      <c r="B938" s="8">
        <f t="shared" si="13"/>
        <v>302763889.3</v>
      </c>
      <c r="C938" s="8">
        <f t="shared" si="14"/>
        <v>0.0005717808219</v>
      </c>
      <c r="D938" s="8">
        <v>4160.68</v>
      </c>
      <c r="E938" s="8">
        <f t="shared" si="17"/>
        <v>0.009523393579</v>
      </c>
      <c r="F938" s="53">
        <v>1.803337676</v>
      </c>
      <c r="G938" s="8">
        <f t="shared" si="16"/>
        <v>0.00004940651167</v>
      </c>
      <c r="H938" s="8">
        <f t="shared" si="11"/>
        <v>4160.68</v>
      </c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54">
        <f t="shared" si="12"/>
        <v>44720</v>
      </c>
      <c r="B939" s="8">
        <f t="shared" si="13"/>
        <v>302937003.9</v>
      </c>
      <c r="C939" s="8">
        <f t="shared" si="14"/>
        <v>0.0005717808219</v>
      </c>
      <c r="D939" s="8">
        <v>4115.77</v>
      </c>
      <c r="E939" s="8">
        <f t="shared" si="17"/>
        <v>-0.01079390869</v>
      </c>
      <c r="F939" s="53">
        <v>1.823057855</v>
      </c>
      <c r="G939" s="8">
        <f t="shared" si="16"/>
        <v>0.00004994679055</v>
      </c>
      <c r="H939" s="8">
        <f t="shared" si="11"/>
        <v>4115.77</v>
      </c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54">
        <f t="shared" si="12"/>
        <v>44721</v>
      </c>
      <c r="B940" s="8">
        <f t="shared" si="13"/>
        <v>303110217.5</v>
      </c>
      <c r="C940" s="8">
        <f t="shared" si="14"/>
        <v>0.0005717808219</v>
      </c>
      <c r="D940" s="8">
        <v>4017.82</v>
      </c>
      <c r="E940" s="8">
        <f t="shared" si="17"/>
        <v>-0.02379870595</v>
      </c>
      <c r="F940" s="53">
        <v>1.801335612</v>
      </c>
      <c r="G940" s="8">
        <f t="shared" si="16"/>
        <v>0.0000493516606</v>
      </c>
      <c r="H940" s="8">
        <f t="shared" si="11"/>
        <v>4017.82</v>
      </c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54">
        <f t="shared" si="12"/>
        <v>44722</v>
      </c>
      <c r="B941" s="8">
        <f t="shared" si="13"/>
        <v>303283530.1</v>
      </c>
      <c r="C941" s="8">
        <f t="shared" si="14"/>
        <v>0.0005717808219</v>
      </c>
      <c r="D941" s="8">
        <v>3900.86</v>
      </c>
      <c r="E941" s="8">
        <f t="shared" si="17"/>
        <v>-0.02911031355</v>
      </c>
      <c r="F941" s="53">
        <v>1.732175869</v>
      </c>
      <c r="G941" s="8">
        <f t="shared" si="16"/>
        <v>0.00004745687312</v>
      </c>
      <c r="H941" s="8">
        <f t="shared" si="11"/>
        <v>3900.86</v>
      </c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54">
        <f t="shared" si="12"/>
        <v>44723</v>
      </c>
      <c r="B942" s="8">
        <f t="shared" si="13"/>
        <v>303456941.8</v>
      </c>
      <c r="C942" s="8">
        <f t="shared" si="14"/>
        <v>0.0005717808219</v>
      </c>
      <c r="D942" s="8">
        <v>3900.86</v>
      </c>
      <c r="E942" s="8">
        <f t="shared" si="17"/>
        <v>0</v>
      </c>
      <c r="F942" s="53">
        <v>1.721893842</v>
      </c>
      <c r="G942" s="8">
        <f t="shared" si="16"/>
        <v>0.00004717517375</v>
      </c>
      <c r="H942" s="8">
        <f t="shared" si="11"/>
        <v>3900.86</v>
      </c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54">
        <f t="shared" si="12"/>
        <v>44724</v>
      </c>
      <c r="B943" s="8">
        <f t="shared" si="13"/>
        <v>303630452.7</v>
      </c>
      <c r="C943" s="8">
        <f t="shared" si="14"/>
        <v>0.0005717808219</v>
      </c>
      <c r="D943" s="8">
        <v>3900.86</v>
      </c>
      <c r="E943" s="8">
        <f t="shared" si="17"/>
        <v>0</v>
      </c>
      <c r="F943" s="53">
        <v>1.692231109</v>
      </c>
      <c r="G943" s="8">
        <f t="shared" si="16"/>
        <v>0.00004636249614</v>
      </c>
      <c r="H943" s="8">
        <f t="shared" si="11"/>
        <v>3900.86</v>
      </c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54">
        <f t="shared" si="12"/>
        <v>44725</v>
      </c>
      <c r="B944" s="8">
        <f t="shared" si="13"/>
        <v>303804062.7</v>
      </c>
      <c r="C944" s="8">
        <f t="shared" si="14"/>
        <v>0.0005717808219</v>
      </c>
      <c r="D944" s="8">
        <v>3749.63</v>
      </c>
      <c r="E944" s="8">
        <f t="shared" si="17"/>
        <v>-0.03876837415</v>
      </c>
      <c r="F944" s="53">
        <v>1.780405659</v>
      </c>
      <c r="G944" s="8">
        <f t="shared" si="16"/>
        <v>0.00004877823723</v>
      </c>
      <c r="H944" s="8">
        <f t="shared" si="11"/>
        <v>3749.63</v>
      </c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54">
        <f t="shared" si="12"/>
        <v>44726</v>
      </c>
      <c r="B945" s="8">
        <f t="shared" si="13"/>
        <v>303977772.1</v>
      </c>
      <c r="C945" s="8">
        <f t="shared" si="14"/>
        <v>0.0005717808219</v>
      </c>
      <c r="D945" s="8">
        <v>3735.48</v>
      </c>
      <c r="E945" s="8">
        <f t="shared" si="17"/>
        <v>-0.003773705672</v>
      </c>
      <c r="F945" s="53">
        <v>1.779440196</v>
      </c>
      <c r="G945" s="8">
        <f t="shared" si="16"/>
        <v>0.00004875178619</v>
      </c>
      <c r="H945" s="8">
        <f t="shared" si="11"/>
        <v>3735.48</v>
      </c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54">
        <f t="shared" si="12"/>
        <v>44727</v>
      </c>
      <c r="B946" s="8">
        <f t="shared" si="13"/>
        <v>304151580.7</v>
      </c>
      <c r="C946" s="8">
        <f t="shared" si="14"/>
        <v>0.0005717808219</v>
      </c>
      <c r="D946" s="8">
        <v>3789.99</v>
      </c>
      <c r="E946" s="8">
        <f t="shared" si="17"/>
        <v>0.01459250217</v>
      </c>
      <c r="F946" s="53">
        <v>1.879337819</v>
      </c>
      <c r="G946" s="8">
        <f t="shared" si="16"/>
        <v>0.00005148870737</v>
      </c>
      <c r="H946" s="8">
        <f t="shared" si="11"/>
        <v>3789.99</v>
      </c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54">
        <f t="shared" si="12"/>
        <v>44728</v>
      </c>
      <c r="B947" s="8">
        <f t="shared" si="13"/>
        <v>304325488.8</v>
      </c>
      <c r="C947" s="8">
        <f t="shared" si="14"/>
        <v>0.0005717808219</v>
      </c>
      <c r="D947" s="8">
        <v>3666.77</v>
      </c>
      <c r="E947" s="8">
        <f t="shared" si="17"/>
        <v>-0.03251195913</v>
      </c>
      <c r="F947" s="53">
        <v>1.914708184</v>
      </c>
      <c r="G947" s="8">
        <f t="shared" si="16"/>
        <v>0.00005245775847</v>
      </c>
      <c r="H947" s="8">
        <f t="shared" si="11"/>
        <v>3666.77</v>
      </c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54">
        <f t="shared" si="12"/>
        <v>44729</v>
      </c>
      <c r="B948" s="8">
        <f t="shared" si="13"/>
        <v>304499496.2</v>
      </c>
      <c r="C948" s="8">
        <f t="shared" si="14"/>
        <v>0.0005717808219</v>
      </c>
      <c r="D948" s="8">
        <v>3674.84</v>
      </c>
      <c r="E948" s="8">
        <f t="shared" si="17"/>
        <v>0.002200847067</v>
      </c>
      <c r="F948" s="53">
        <v>1.887874099</v>
      </c>
      <c r="G948" s="8">
        <f t="shared" si="16"/>
        <v>0.00005172257805</v>
      </c>
      <c r="H948" s="8">
        <f t="shared" si="11"/>
        <v>3674.84</v>
      </c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54">
        <f t="shared" si="12"/>
        <v>44730</v>
      </c>
      <c r="B949" s="8">
        <f t="shared" si="13"/>
        <v>304673603.2</v>
      </c>
      <c r="C949" s="8">
        <f t="shared" si="14"/>
        <v>0.0005717808219</v>
      </c>
      <c r="D949" s="8">
        <v>3674.84</v>
      </c>
      <c r="E949" s="8">
        <f t="shared" si="17"/>
        <v>0</v>
      </c>
      <c r="F949" s="53">
        <v>1.836107226</v>
      </c>
      <c r="G949" s="8">
        <f t="shared" si="16"/>
        <v>0.00005030430756</v>
      </c>
      <c r="H949" s="8">
        <f t="shared" si="11"/>
        <v>3674.84</v>
      </c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54">
        <f t="shared" si="12"/>
        <v>44731</v>
      </c>
      <c r="B950" s="8">
        <f t="shared" si="13"/>
        <v>304847809.7</v>
      </c>
      <c r="C950" s="8">
        <f t="shared" si="14"/>
        <v>0.0005717808219</v>
      </c>
      <c r="D950" s="8">
        <v>3674.84</v>
      </c>
      <c r="E950" s="8">
        <f t="shared" si="17"/>
        <v>0</v>
      </c>
      <c r="F950" s="53">
        <v>1.815598422</v>
      </c>
      <c r="G950" s="8">
        <f t="shared" si="16"/>
        <v>0.00004974242252</v>
      </c>
      <c r="H950" s="8">
        <f t="shared" si="11"/>
        <v>3674.84</v>
      </c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54">
        <f t="shared" si="12"/>
        <v>44732</v>
      </c>
      <c r="B951" s="8">
        <f t="shared" si="13"/>
        <v>305022115.9</v>
      </c>
      <c r="C951" s="8">
        <f t="shared" si="14"/>
        <v>0.0005717808219</v>
      </c>
      <c r="D951" s="8">
        <v>3674.84</v>
      </c>
      <c r="E951" s="8">
        <f t="shared" si="17"/>
        <v>0</v>
      </c>
      <c r="F951" s="53">
        <v>1.881848336</v>
      </c>
      <c r="G951" s="8">
        <f t="shared" si="16"/>
        <v>0.00005155748866</v>
      </c>
      <c r="H951" s="8">
        <f t="shared" si="11"/>
        <v>3674.84</v>
      </c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54">
        <f t="shared" si="12"/>
        <v>44733</v>
      </c>
      <c r="B952" s="8">
        <f t="shared" si="13"/>
        <v>305196521.7</v>
      </c>
      <c r="C952" s="8">
        <f t="shared" si="14"/>
        <v>0.0005717808219</v>
      </c>
      <c r="D952" s="8">
        <v>3764.79</v>
      </c>
      <c r="E952" s="8">
        <f t="shared" si="17"/>
        <v>0.02447725615</v>
      </c>
      <c r="F952" s="53">
        <v>1.831154722</v>
      </c>
      <c r="G952" s="8">
        <f t="shared" si="16"/>
        <v>0.00005016862252</v>
      </c>
      <c r="H952" s="8">
        <f t="shared" si="11"/>
        <v>3764.79</v>
      </c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54">
        <f t="shared" si="12"/>
        <v>44734</v>
      </c>
      <c r="B953" s="8">
        <f t="shared" si="13"/>
        <v>305371027.2</v>
      </c>
      <c r="C953" s="8">
        <f t="shared" si="14"/>
        <v>0.0005717808219</v>
      </c>
      <c r="D953" s="8">
        <v>3759.89</v>
      </c>
      <c r="E953" s="8">
        <f t="shared" si="17"/>
        <v>-0.001301533419</v>
      </c>
      <c r="F953" s="53">
        <v>1.831298985</v>
      </c>
      <c r="G953" s="8">
        <f t="shared" si="16"/>
        <v>0.00005017257493</v>
      </c>
      <c r="H953" s="8">
        <f t="shared" si="11"/>
        <v>3759.89</v>
      </c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54">
        <f t="shared" si="12"/>
        <v>44735</v>
      </c>
      <c r="B954" s="8">
        <f t="shared" si="13"/>
        <v>305545632.5</v>
      </c>
      <c r="C954" s="8">
        <f t="shared" si="14"/>
        <v>0.0005717808219</v>
      </c>
      <c r="D954" s="8">
        <v>3795.73</v>
      </c>
      <c r="E954" s="8">
        <f t="shared" si="17"/>
        <v>0.009532193761</v>
      </c>
      <c r="F954" s="53">
        <v>1.895853852</v>
      </c>
      <c r="G954" s="8">
        <f t="shared" si="16"/>
        <v>0.00005194120142</v>
      </c>
      <c r="H954" s="8">
        <f t="shared" si="11"/>
        <v>3795.73</v>
      </c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54">
        <f t="shared" si="12"/>
        <v>44736</v>
      </c>
      <c r="B955" s="8">
        <f t="shared" si="13"/>
        <v>305720337.6</v>
      </c>
      <c r="C955" s="8">
        <f t="shared" si="14"/>
        <v>0.0005717808219</v>
      </c>
      <c r="D955" s="8">
        <v>3911.74</v>
      </c>
      <c r="E955" s="8">
        <f t="shared" si="17"/>
        <v>0.03056329086</v>
      </c>
      <c r="F955" s="53">
        <v>1.90309385</v>
      </c>
      <c r="G955" s="8">
        <f t="shared" si="16"/>
        <v>0.00005213955753</v>
      </c>
      <c r="H955" s="8">
        <f t="shared" si="11"/>
        <v>3911.74</v>
      </c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54">
        <f t="shared" si="12"/>
        <v>44737</v>
      </c>
      <c r="B956" s="8">
        <f t="shared" si="13"/>
        <v>305895142.6</v>
      </c>
      <c r="C956" s="8">
        <f t="shared" si="14"/>
        <v>0.0005717808219</v>
      </c>
      <c r="D956" s="8">
        <v>3911.74</v>
      </c>
      <c r="E956" s="8">
        <f t="shared" si="17"/>
        <v>0</v>
      </c>
      <c r="F956" s="53">
        <v>1.910295285</v>
      </c>
      <c r="G956" s="8">
        <f t="shared" si="16"/>
        <v>0.00005233685712</v>
      </c>
      <c r="H956" s="8">
        <f t="shared" si="11"/>
        <v>3911.74</v>
      </c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54">
        <f t="shared" si="12"/>
        <v>44738</v>
      </c>
      <c r="B957" s="8">
        <f t="shared" si="13"/>
        <v>306070047.6</v>
      </c>
      <c r="C957" s="8">
        <f t="shared" si="14"/>
        <v>0.0005717808219</v>
      </c>
      <c r="D957" s="8">
        <v>3911.74</v>
      </c>
      <c r="E957" s="8">
        <f t="shared" si="17"/>
        <v>0</v>
      </c>
      <c r="F957" s="53">
        <v>1.936199757</v>
      </c>
      <c r="G957" s="8">
        <f t="shared" si="16"/>
        <v>0.00005304656868</v>
      </c>
      <c r="H957" s="8">
        <f t="shared" si="11"/>
        <v>3911.74</v>
      </c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54">
        <f t="shared" si="12"/>
        <v>44739</v>
      </c>
      <c r="B958" s="8">
        <f t="shared" si="13"/>
        <v>306245052.6</v>
      </c>
      <c r="C958" s="8">
        <f t="shared" si="14"/>
        <v>0.0005717808219</v>
      </c>
      <c r="D958" s="8">
        <v>3900.11</v>
      </c>
      <c r="E958" s="8">
        <f t="shared" si="17"/>
        <v>-0.002973101484</v>
      </c>
      <c r="F958" s="53">
        <v>2.002440616</v>
      </c>
      <c r="G958" s="8">
        <f t="shared" si="16"/>
        <v>0.00005486138674</v>
      </c>
      <c r="H958" s="8">
        <f t="shared" si="11"/>
        <v>3900.11</v>
      </c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54">
        <f t="shared" si="12"/>
        <v>44740</v>
      </c>
      <c r="B959" s="8">
        <f t="shared" si="13"/>
        <v>306420157.7</v>
      </c>
      <c r="C959" s="8">
        <f t="shared" si="14"/>
        <v>0.0005717808219</v>
      </c>
      <c r="D959" s="8">
        <v>3821.55</v>
      </c>
      <c r="E959" s="8">
        <f t="shared" si="17"/>
        <v>-0.02014302161</v>
      </c>
      <c r="F959" s="53">
        <v>1.981266853</v>
      </c>
      <c r="G959" s="8">
        <f t="shared" si="16"/>
        <v>0.00005428128364</v>
      </c>
      <c r="H959" s="8">
        <f t="shared" si="11"/>
        <v>3821.55</v>
      </c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54">
        <f t="shared" si="12"/>
        <v>44741</v>
      </c>
      <c r="B960" s="8">
        <f t="shared" si="13"/>
        <v>306595362.8</v>
      </c>
      <c r="C960" s="8">
        <f t="shared" si="14"/>
        <v>0.0005717808219</v>
      </c>
      <c r="D960" s="8">
        <v>3818.83</v>
      </c>
      <c r="E960" s="8">
        <f t="shared" si="17"/>
        <v>-0.0007117530845</v>
      </c>
      <c r="F960" s="53">
        <v>2.00032114</v>
      </c>
      <c r="G960" s="8">
        <f t="shared" si="16"/>
        <v>0.0000548033189</v>
      </c>
      <c r="H960" s="8">
        <f t="shared" si="11"/>
        <v>3818.83</v>
      </c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54">
        <f t="shared" si="12"/>
        <v>44742</v>
      </c>
      <c r="B961" s="8">
        <f t="shared" si="13"/>
        <v>306770668.2</v>
      </c>
      <c r="C961" s="8">
        <f t="shared" si="14"/>
        <v>0.0005717808219</v>
      </c>
      <c r="D961" s="8">
        <v>3785.38</v>
      </c>
      <c r="E961" s="8">
        <f t="shared" si="17"/>
        <v>-0.008759227303</v>
      </c>
      <c r="F961" s="53">
        <v>1.968651152</v>
      </c>
      <c r="G961" s="8">
        <f t="shared" si="16"/>
        <v>0.000053935648</v>
      </c>
      <c r="H961" s="8">
        <f t="shared" si="11"/>
        <v>3785.38</v>
      </c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54">
        <f t="shared" si="12"/>
        <v>44743</v>
      </c>
      <c r="B962" s="8">
        <f t="shared" si="13"/>
        <v>306946073.8</v>
      </c>
      <c r="C962" s="8">
        <f t="shared" si="14"/>
        <v>0.0005717808219</v>
      </c>
      <c r="D962" s="8">
        <v>3825.33</v>
      </c>
      <c r="E962" s="8">
        <f t="shared" si="17"/>
        <v>0.01055376211</v>
      </c>
      <c r="F962" s="53">
        <v>1.97597797</v>
      </c>
      <c r="G962" s="8">
        <f t="shared" si="16"/>
        <v>0.00005413638274</v>
      </c>
      <c r="H962" s="8">
        <f t="shared" si="11"/>
        <v>3825.33</v>
      </c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54">
        <f t="shared" si="12"/>
        <v>44744</v>
      </c>
      <c r="B963" s="8">
        <f t="shared" si="13"/>
        <v>307121579.6</v>
      </c>
      <c r="C963" s="8">
        <f t="shared" si="14"/>
        <v>0.0005717808219</v>
      </c>
      <c r="D963" s="8">
        <v>3825.33</v>
      </c>
      <c r="E963" s="8">
        <f t="shared" si="17"/>
        <v>0</v>
      </c>
      <c r="F963" s="53">
        <v>1.901088402</v>
      </c>
      <c r="G963" s="8">
        <f t="shared" si="16"/>
        <v>0.00005208461375</v>
      </c>
      <c r="H963" s="8">
        <f t="shared" si="11"/>
        <v>3825.33</v>
      </c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54">
        <f t="shared" si="12"/>
        <v>44745</v>
      </c>
      <c r="B964" s="8">
        <f t="shared" si="13"/>
        <v>307297185.9</v>
      </c>
      <c r="C964" s="8">
        <f t="shared" si="14"/>
        <v>0.0005717808219</v>
      </c>
      <c r="D964" s="8">
        <v>3825.33</v>
      </c>
      <c r="E964" s="8">
        <f t="shared" si="17"/>
        <v>0</v>
      </c>
      <c r="F964" s="53">
        <v>2.01441227</v>
      </c>
      <c r="G964" s="8">
        <f t="shared" si="16"/>
        <v>0.00005518937726</v>
      </c>
      <c r="H964" s="8">
        <f t="shared" si="11"/>
        <v>3825.33</v>
      </c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54">
        <f t="shared" si="12"/>
        <v>44746</v>
      </c>
      <c r="B965" s="8">
        <f t="shared" si="13"/>
        <v>307472892.5</v>
      </c>
      <c r="C965" s="8">
        <f t="shared" si="14"/>
        <v>0.0005717808219</v>
      </c>
      <c r="D965" s="8">
        <v>3825.33</v>
      </c>
      <c r="E965" s="8">
        <f t="shared" si="17"/>
        <v>0</v>
      </c>
      <c r="F965" s="53">
        <v>2.117458704</v>
      </c>
      <c r="G965" s="8">
        <f t="shared" si="16"/>
        <v>0.00005801256723</v>
      </c>
      <c r="H965" s="8">
        <f t="shared" si="11"/>
        <v>3825.33</v>
      </c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54">
        <f t="shared" si="12"/>
        <v>44747</v>
      </c>
      <c r="B966" s="8">
        <f t="shared" si="13"/>
        <v>307648699.6</v>
      </c>
      <c r="C966" s="8">
        <f t="shared" si="14"/>
        <v>0.0005717808219</v>
      </c>
      <c r="D966" s="8">
        <v>3831.39</v>
      </c>
      <c r="E966" s="8">
        <f t="shared" si="17"/>
        <v>0.001584177051</v>
      </c>
      <c r="F966" s="53">
        <v>2.052892879</v>
      </c>
      <c r="G966" s="8">
        <f t="shared" si="16"/>
        <v>0.00005624364052</v>
      </c>
      <c r="H966" s="8">
        <f t="shared" si="11"/>
        <v>3831.39</v>
      </c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54">
        <f t="shared" si="12"/>
        <v>44748</v>
      </c>
      <c r="B967" s="8">
        <f t="shared" si="13"/>
        <v>307824607.2</v>
      </c>
      <c r="C967" s="8">
        <f t="shared" si="14"/>
        <v>0.0005717808219</v>
      </c>
      <c r="D967" s="8">
        <v>3845.08</v>
      </c>
      <c r="E967" s="8">
        <f t="shared" si="17"/>
        <v>0.003573115762</v>
      </c>
      <c r="F967" s="53">
        <v>1.984776533</v>
      </c>
      <c r="G967" s="8">
        <f t="shared" si="16"/>
        <v>0.00005437743926</v>
      </c>
      <c r="H967" s="8">
        <f t="shared" si="11"/>
        <v>3845.08</v>
      </c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54">
        <f t="shared" si="12"/>
        <v>44749</v>
      </c>
      <c r="B968" s="8">
        <f t="shared" si="13"/>
        <v>308000615.4</v>
      </c>
      <c r="C968" s="8">
        <f t="shared" si="14"/>
        <v>0.0005717808219</v>
      </c>
      <c r="D968" s="8">
        <v>3902.62</v>
      </c>
      <c r="E968" s="8">
        <f t="shared" si="17"/>
        <v>0.01496457811</v>
      </c>
      <c r="F968" s="53">
        <v>2.010040014</v>
      </c>
      <c r="G968" s="8">
        <f t="shared" si="16"/>
        <v>0.00005506958942</v>
      </c>
      <c r="H968" s="8">
        <f t="shared" si="11"/>
        <v>3902.62</v>
      </c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54">
        <f t="shared" si="12"/>
        <v>44750</v>
      </c>
      <c r="B969" s="8">
        <f t="shared" si="13"/>
        <v>308176724.3</v>
      </c>
      <c r="C969" s="8">
        <f t="shared" si="14"/>
        <v>0.0005717808219</v>
      </c>
      <c r="D969" s="8">
        <v>3899.38</v>
      </c>
      <c r="E969" s="8">
        <f t="shared" si="17"/>
        <v>-0.0008302114989</v>
      </c>
      <c r="F969" s="53">
        <v>2.06573799</v>
      </c>
      <c r="G969" s="8">
        <f t="shared" si="16"/>
        <v>0.00005659556137</v>
      </c>
      <c r="H969" s="8">
        <f t="shared" si="11"/>
        <v>3899.38</v>
      </c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54">
        <f t="shared" si="12"/>
        <v>44751</v>
      </c>
      <c r="B970" s="8">
        <f t="shared" si="13"/>
        <v>308352933.8</v>
      </c>
      <c r="C970" s="8">
        <f t="shared" si="14"/>
        <v>0.0005717808219</v>
      </c>
      <c r="D970" s="8">
        <v>3899.38</v>
      </c>
      <c r="E970" s="8">
        <f t="shared" si="17"/>
        <v>0</v>
      </c>
      <c r="F970" s="53">
        <v>2.015331692</v>
      </c>
      <c r="G970" s="8">
        <f t="shared" si="16"/>
        <v>0.0000552145669</v>
      </c>
      <c r="H970" s="8">
        <f t="shared" si="11"/>
        <v>3899.38</v>
      </c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54">
        <f t="shared" si="12"/>
        <v>44752</v>
      </c>
      <c r="B971" s="8">
        <f t="shared" si="13"/>
        <v>308529244.1</v>
      </c>
      <c r="C971" s="8">
        <f t="shared" si="14"/>
        <v>0.0005717808219</v>
      </c>
      <c r="D971" s="8">
        <v>3899.38</v>
      </c>
      <c r="E971" s="8">
        <f t="shared" si="17"/>
        <v>0</v>
      </c>
      <c r="F971" s="53">
        <v>2.127348668</v>
      </c>
      <c r="G971" s="8">
        <f t="shared" si="16"/>
        <v>0.00005828352515</v>
      </c>
      <c r="H971" s="8">
        <f t="shared" si="11"/>
        <v>3899.38</v>
      </c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54">
        <f t="shared" si="12"/>
        <v>44753</v>
      </c>
      <c r="B972" s="8">
        <f t="shared" si="13"/>
        <v>308705655.2</v>
      </c>
      <c r="C972" s="8">
        <f t="shared" si="14"/>
        <v>0.0005717808219</v>
      </c>
      <c r="D972" s="8">
        <v>3854.43</v>
      </c>
      <c r="E972" s="8">
        <f t="shared" si="17"/>
        <v>-0.0115274736</v>
      </c>
      <c r="F972" s="53">
        <v>2.17160846</v>
      </c>
      <c r="G972" s="8">
        <f t="shared" si="16"/>
        <v>0.00005949612219</v>
      </c>
      <c r="H972" s="8">
        <f t="shared" si="11"/>
        <v>3854.43</v>
      </c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54">
        <f t="shared" si="12"/>
        <v>44754</v>
      </c>
      <c r="B973" s="8">
        <f t="shared" si="13"/>
        <v>308882167.2</v>
      </c>
      <c r="C973" s="8">
        <f t="shared" si="14"/>
        <v>0.0005717808219</v>
      </c>
      <c r="D973" s="8">
        <v>3818.8</v>
      </c>
      <c r="E973" s="8">
        <f t="shared" si="17"/>
        <v>-0.009243908957</v>
      </c>
      <c r="F973" s="53">
        <v>2.154340918</v>
      </c>
      <c r="G973" s="8">
        <f t="shared" si="16"/>
        <v>0.00005902303885</v>
      </c>
      <c r="H973" s="8">
        <f t="shared" si="11"/>
        <v>3818.8</v>
      </c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54">
        <f t="shared" si="12"/>
        <v>44755</v>
      </c>
      <c r="B974" s="8">
        <f t="shared" si="13"/>
        <v>309058780.1</v>
      </c>
      <c r="C974" s="8">
        <f t="shared" si="14"/>
        <v>0.0005717808219</v>
      </c>
      <c r="D974" s="8">
        <v>3801.78</v>
      </c>
      <c r="E974" s="8">
        <f t="shared" si="17"/>
        <v>-0.004456897455</v>
      </c>
      <c r="F974" s="53">
        <v>2.229882013</v>
      </c>
      <c r="G974" s="8">
        <f t="shared" si="16"/>
        <v>0.00006109265789</v>
      </c>
      <c r="H974" s="8">
        <f t="shared" si="11"/>
        <v>3801.78</v>
      </c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54">
        <f t="shared" si="12"/>
        <v>44756</v>
      </c>
      <c r="B975" s="8">
        <f t="shared" si="13"/>
        <v>309235494</v>
      </c>
      <c r="C975" s="8">
        <f t="shared" si="14"/>
        <v>0.0005717808219</v>
      </c>
      <c r="D975" s="8">
        <v>3790.38</v>
      </c>
      <c r="E975" s="8">
        <f t="shared" si="17"/>
        <v>-0.002998595395</v>
      </c>
      <c r="F975" s="53">
        <v>2.148823123</v>
      </c>
      <c r="G975" s="8">
        <f t="shared" si="16"/>
        <v>0.00005887186638</v>
      </c>
      <c r="H975" s="8">
        <f t="shared" si="11"/>
        <v>3790.38</v>
      </c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54">
        <f t="shared" si="12"/>
        <v>44757</v>
      </c>
      <c r="B976" s="8">
        <f t="shared" si="13"/>
        <v>309412308.9</v>
      </c>
      <c r="C976" s="8">
        <f t="shared" si="14"/>
        <v>0.0005717808219</v>
      </c>
      <c r="D976" s="8">
        <v>3863.16</v>
      </c>
      <c r="E976" s="8">
        <f t="shared" si="17"/>
        <v>0.01920124104</v>
      </c>
      <c r="F976" s="53">
        <v>2.148873708</v>
      </c>
      <c r="G976" s="8">
        <f t="shared" si="16"/>
        <v>0.00005887325227</v>
      </c>
      <c r="H976" s="8">
        <f t="shared" si="11"/>
        <v>3863.16</v>
      </c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54">
        <f t="shared" si="12"/>
        <v>44758</v>
      </c>
      <c r="B977" s="8">
        <f t="shared" si="13"/>
        <v>309589224.9</v>
      </c>
      <c r="C977" s="8">
        <f t="shared" si="14"/>
        <v>0.0005717808219</v>
      </c>
      <c r="D977" s="8">
        <v>3863.16</v>
      </c>
      <c r="E977" s="8">
        <f t="shared" si="17"/>
        <v>0</v>
      </c>
      <c r="F977" s="53">
        <v>2.054843408</v>
      </c>
      <c r="G977" s="8">
        <f t="shared" si="16"/>
        <v>0.00005629707967</v>
      </c>
      <c r="H977" s="8">
        <f t="shared" si="11"/>
        <v>3863.16</v>
      </c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54">
        <f t="shared" si="12"/>
        <v>44759</v>
      </c>
      <c r="B978" s="8">
        <f t="shared" si="13"/>
        <v>309766242.1</v>
      </c>
      <c r="C978" s="8">
        <f t="shared" si="14"/>
        <v>0.0005717808219</v>
      </c>
      <c r="D978" s="8">
        <v>3863.16</v>
      </c>
      <c r="E978" s="8">
        <f t="shared" si="17"/>
        <v>0</v>
      </c>
      <c r="F978" s="53">
        <v>2.147785757</v>
      </c>
      <c r="G978" s="8">
        <f t="shared" si="16"/>
        <v>0.0000588434454</v>
      </c>
      <c r="H978" s="8">
        <f t="shared" si="11"/>
        <v>3863.16</v>
      </c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54">
        <f t="shared" si="12"/>
        <v>44760</v>
      </c>
      <c r="B979" s="8">
        <f t="shared" si="13"/>
        <v>309943360.5</v>
      </c>
      <c r="C979" s="8">
        <f t="shared" si="14"/>
        <v>0.0005717808219</v>
      </c>
      <c r="D979" s="8">
        <v>3830.85</v>
      </c>
      <c r="E979" s="8">
        <f t="shared" si="17"/>
        <v>-0.00836361942</v>
      </c>
      <c r="F979" s="53">
        <v>2.190945988</v>
      </c>
      <c r="G979" s="8">
        <f t="shared" si="16"/>
        <v>0.00006002591748</v>
      </c>
      <c r="H979" s="8">
        <f t="shared" si="11"/>
        <v>3830.85</v>
      </c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54">
        <f t="shared" si="12"/>
        <v>44761</v>
      </c>
      <c r="B980" s="8">
        <f t="shared" si="13"/>
        <v>310120580.2</v>
      </c>
      <c r="C980" s="8">
        <f t="shared" si="14"/>
        <v>0.0005717808219</v>
      </c>
      <c r="D980" s="8">
        <v>3936.69</v>
      </c>
      <c r="E980" s="8">
        <f t="shared" si="17"/>
        <v>0.02762833314</v>
      </c>
      <c r="F980" s="53">
        <v>2.221768959</v>
      </c>
      <c r="G980" s="8">
        <f t="shared" si="16"/>
        <v>0.00006087038244</v>
      </c>
      <c r="H980" s="8">
        <f t="shared" si="11"/>
        <v>3936.69</v>
      </c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54">
        <f t="shared" si="12"/>
        <v>44762</v>
      </c>
      <c r="B981" s="8">
        <f t="shared" si="13"/>
        <v>310297901.2</v>
      </c>
      <c r="C981" s="8">
        <f t="shared" si="14"/>
        <v>0.0005717808219</v>
      </c>
      <c r="D981" s="8">
        <v>3959.9</v>
      </c>
      <c r="E981" s="8">
        <f t="shared" si="17"/>
        <v>0.005895816028</v>
      </c>
      <c r="F981" s="53">
        <v>2.198088261</v>
      </c>
      <c r="G981" s="8">
        <f t="shared" si="16"/>
        <v>0.00006022159619</v>
      </c>
      <c r="H981" s="8">
        <f t="shared" si="11"/>
        <v>3959.9</v>
      </c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54">
        <f t="shared" si="12"/>
        <v>44763</v>
      </c>
      <c r="B982" s="8">
        <f t="shared" si="13"/>
        <v>310475323.6</v>
      </c>
      <c r="C982" s="8">
        <f t="shared" si="14"/>
        <v>0.0005717808219</v>
      </c>
      <c r="D982" s="8">
        <v>3998.95</v>
      </c>
      <c r="E982" s="8">
        <f t="shared" si="17"/>
        <v>0.009861360135</v>
      </c>
      <c r="F982" s="53">
        <v>2.140555881</v>
      </c>
      <c r="G982" s="8">
        <f t="shared" si="16"/>
        <v>0.0000586453666</v>
      </c>
      <c r="H982" s="8">
        <f t="shared" si="11"/>
        <v>3998.95</v>
      </c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54">
        <f t="shared" si="12"/>
        <v>44764</v>
      </c>
      <c r="B983" s="8">
        <f t="shared" si="13"/>
        <v>310652847.4</v>
      </c>
      <c r="C983" s="8">
        <f t="shared" si="14"/>
        <v>0.0005717808219</v>
      </c>
      <c r="D983" s="8">
        <v>3961.63</v>
      </c>
      <c r="E983" s="8">
        <f t="shared" si="17"/>
        <v>-0.009332449768</v>
      </c>
      <c r="F983" s="53">
        <v>2.150576588</v>
      </c>
      <c r="G983" s="8">
        <f t="shared" si="16"/>
        <v>0.00005891990652</v>
      </c>
      <c r="H983" s="8">
        <f t="shared" si="11"/>
        <v>3961.63</v>
      </c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54">
        <f t="shared" si="12"/>
        <v>44765</v>
      </c>
      <c r="B984" s="8">
        <f t="shared" si="13"/>
        <v>310830472.7</v>
      </c>
      <c r="C984" s="8">
        <f t="shared" si="14"/>
        <v>0.0005717808219</v>
      </c>
      <c r="D984" s="8">
        <v>3961.63</v>
      </c>
      <c r="E984" s="8">
        <f t="shared" si="17"/>
        <v>0</v>
      </c>
      <c r="F984" s="53">
        <v>2.293172704</v>
      </c>
      <c r="G984" s="8">
        <f t="shared" si="16"/>
        <v>0.00006282664942</v>
      </c>
      <c r="H984" s="8">
        <f t="shared" si="11"/>
        <v>3961.63</v>
      </c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54">
        <f t="shared" si="12"/>
        <v>44766</v>
      </c>
      <c r="B985" s="8">
        <f t="shared" si="13"/>
        <v>311008199.6</v>
      </c>
      <c r="C985" s="8">
        <f t="shared" si="14"/>
        <v>0.0005717808219</v>
      </c>
      <c r="D985" s="8">
        <v>3961.63</v>
      </c>
      <c r="E985" s="8">
        <f t="shared" si="17"/>
        <v>0</v>
      </c>
      <c r="F985" s="53">
        <v>2.294064519</v>
      </c>
      <c r="G985" s="8">
        <f t="shared" si="16"/>
        <v>0.00006285108271</v>
      </c>
      <c r="H985" s="8">
        <f t="shared" si="11"/>
        <v>3961.63</v>
      </c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54">
        <f t="shared" si="12"/>
        <v>44767</v>
      </c>
      <c r="B986" s="8">
        <f t="shared" si="13"/>
        <v>311186028.2</v>
      </c>
      <c r="C986" s="8">
        <f t="shared" si="14"/>
        <v>0.0005717808219</v>
      </c>
      <c r="D986" s="8">
        <v>3966.84</v>
      </c>
      <c r="E986" s="8">
        <f t="shared" si="17"/>
        <v>0.001315115243</v>
      </c>
      <c r="F986" s="53">
        <v>2.274774418</v>
      </c>
      <c r="G986" s="8">
        <f t="shared" si="16"/>
        <v>0.00006232258679</v>
      </c>
      <c r="H986" s="8">
        <f t="shared" si="11"/>
        <v>3966.84</v>
      </c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54">
        <f t="shared" si="12"/>
        <v>44768</v>
      </c>
      <c r="B987" s="8">
        <f t="shared" si="13"/>
        <v>311363958.4</v>
      </c>
      <c r="C987" s="8">
        <f t="shared" si="14"/>
        <v>0.0005717808219</v>
      </c>
      <c r="D987" s="8">
        <v>3921.05</v>
      </c>
      <c r="E987" s="8">
        <f t="shared" si="17"/>
        <v>-0.01154319307</v>
      </c>
      <c r="F987" s="53">
        <v>2.35065704</v>
      </c>
      <c r="G987" s="8">
        <f t="shared" si="16"/>
        <v>0.00006440156274</v>
      </c>
      <c r="H987" s="8">
        <f t="shared" si="11"/>
        <v>3921.05</v>
      </c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54">
        <f t="shared" si="12"/>
        <v>44769</v>
      </c>
      <c r="B988" s="8">
        <f t="shared" si="13"/>
        <v>311541990.3</v>
      </c>
      <c r="C988" s="8">
        <f t="shared" si="14"/>
        <v>0.0005717808219</v>
      </c>
      <c r="D988" s="8">
        <v>4023.61</v>
      </c>
      <c r="E988" s="8">
        <f t="shared" si="17"/>
        <v>0.02615625917</v>
      </c>
      <c r="F988" s="53">
        <v>2.216948372</v>
      </c>
      <c r="G988" s="8">
        <f t="shared" si="16"/>
        <v>0.00006073831156</v>
      </c>
      <c r="H988" s="8">
        <f t="shared" si="11"/>
        <v>4023.61</v>
      </c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54">
        <f t="shared" si="12"/>
        <v>44770</v>
      </c>
      <c r="B989" s="8">
        <f t="shared" si="13"/>
        <v>311720124</v>
      </c>
      <c r="C989" s="8">
        <f t="shared" si="14"/>
        <v>0.0005717808219</v>
      </c>
      <c r="D989" s="8">
        <v>4072.43</v>
      </c>
      <c r="E989" s="8">
        <f t="shared" si="17"/>
        <v>0.01213338271</v>
      </c>
      <c r="F989" s="53">
        <v>2.258650304</v>
      </c>
      <c r="G989" s="8">
        <f t="shared" si="16"/>
        <v>0.00006188083025</v>
      </c>
      <c r="H989" s="8">
        <f t="shared" si="11"/>
        <v>4072.43</v>
      </c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54">
        <f t="shared" si="12"/>
        <v>44771</v>
      </c>
      <c r="B990" s="8">
        <f t="shared" si="13"/>
        <v>311898359.6</v>
      </c>
      <c r="C990" s="8">
        <f t="shared" si="14"/>
        <v>0.0005717808219</v>
      </c>
      <c r="D990" s="8">
        <v>4130.29</v>
      </c>
      <c r="E990" s="8">
        <f t="shared" si="17"/>
        <v>0.01420773347</v>
      </c>
      <c r="F990" s="53">
        <v>2.264590972</v>
      </c>
      <c r="G990" s="8">
        <f t="shared" si="16"/>
        <v>0.00006204358827</v>
      </c>
      <c r="H990" s="8">
        <f t="shared" si="11"/>
        <v>4130.29</v>
      </c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54">
        <f t="shared" si="12"/>
        <v>44772</v>
      </c>
      <c r="B991" s="8">
        <f t="shared" si="13"/>
        <v>312076697.1</v>
      </c>
      <c r="C991" s="8">
        <f t="shared" si="14"/>
        <v>0.0005717808219</v>
      </c>
      <c r="D991" s="8">
        <v>4130.29</v>
      </c>
      <c r="E991" s="8">
        <f t="shared" si="17"/>
        <v>0</v>
      </c>
      <c r="F991" s="53">
        <v>2.173105188</v>
      </c>
      <c r="G991" s="8">
        <f t="shared" si="16"/>
        <v>0.00005953712844</v>
      </c>
      <c r="H991" s="8">
        <f t="shared" si="11"/>
        <v>4130.29</v>
      </c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54">
        <f t="shared" si="12"/>
        <v>44773</v>
      </c>
      <c r="B992" s="8">
        <f t="shared" si="13"/>
        <v>312255136.6</v>
      </c>
      <c r="C992" s="8">
        <f t="shared" si="14"/>
        <v>0.0005717808219</v>
      </c>
      <c r="D992" s="8">
        <v>4130.29</v>
      </c>
      <c r="E992" s="8">
        <f t="shared" si="17"/>
        <v>0</v>
      </c>
      <c r="F992" s="53">
        <v>2.324352197</v>
      </c>
      <c r="G992" s="8">
        <f t="shared" si="16"/>
        <v>0.00006368088211</v>
      </c>
      <c r="H992" s="8">
        <f t="shared" si="11"/>
        <v>4130.29</v>
      </c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54">
        <f t="shared" si="12"/>
        <v>44774</v>
      </c>
      <c r="B993" s="8">
        <f t="shared" si="13"/>
        <v>312433678.1</v>
      </c>
      <c r="C993" s="8">
        <f t="shared" si="14"/>
        <v>0.0005717808219</v>
      </c>
      <c r="D993" s="8">
        <v>4118.63</v>
      </c>
      <c r="E993" s="8">
        <f t="shared" si="17"/>
        <v>-0.002823046324</v>
      </c>
      <c r="F993" s="53">
        <v>2.271395067</v>
      </c>
      <c r="G993" s="8">
        <f t="shared" si="16"/>
        <v>0.00006223000184</v>
      </c>
      <c r="H993" s="8">
        <f t="shared" si="11"/>
        <v>4118.63</v>
      </c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54">
        <f t="shared" si="12"/>
        <v>44775</v>
      </c>
      <c r="B994" s="8">
        <f t="shared" si="13"/>
        <v>312612321.7</v>
      </c>
      <c r="C994" s="8">
        <f t="shared" si="14"/>
        <v>0.0005717808219</v>
      </c>
      <c r="D994" s="8">
        <v>4091.19</v>
      </c>
      <c r="E994" s="8">
        <f t="shared" si="17"/>
        <v>-0.006662409588</v>
      </c>
      <c r="F994" s="53">
        <v>2.364140748</v>
      </c>
      <c r="G994" s="8">
        <f t="shared" si="16"/>
        <v>0.0000647709794</v>
      </c>
      <c r="H994" s="8">
        <f t="shared" si="11"/>
        <v>4091.19</v>
      </c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54">
        <f t="shared" si="12"/>
        <v>44776</v>
      </c>
      <c r="B995" s="8">
        <f t="shared" si="13"/>
        <v>312791067.4</v>
      </c>
      <c r="C995" s="8">
        <f t="shared" si="14"/>
        <v>0.0005717808219</v>
      </c>
      <c r="D995" s="8">
        <v>4155.17</v>
      </c>
      <c r="E995" s="8">
        <f t="shared" si="17"/>
        <v>0.01563848171</v>
      </c>
      <c r="F995" s="53">
        <v>2.291919996</v>
      </c>
      <c r="G995" s="8">
        <f t="shared" si="16"/>
        <v>0.00006279232866</v>
      </c>
      <c r="H995" s="8">
        <f t="shared" si="11"/>
        <v>4155.17</v>
      </c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54">
        <f t="shared" si="12"/>
        <v>44777</v>
      </c>
      <c r="B996" s="8">
        <f t="shared" si="13"/>
        <v>312969915.4</v>
      </c>
      <c r="C996" s="8">
        <f t="shared" si="14"/>
        <v>0.0005717808219</v>
      </c>
      <c r="D996" s="8">
        <v>4151.94</v>
      </c>
      <c r="E996" s="8">
        <f t="shared" si="17"/>
        <v>-0.0007773448499</v>
      </c>
      <c r="F996" s="53">
        <v>2.30367826</v>
      </c>
      <c r="G996" s="8">
        <f t="shared" si="16"/>
        <v>0.00006311447288</v>
      </c>
      <c r="H996" s="8">
        <f t="shared" si="11"/>
        <v>4151.94</v>
      </c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54">
        <f t="shared" si="12"/>
        <v>44778</v>
      </c>
      <c r="B997" s="8">
        <f t="shared" si="13"/>
        <v>313148865.5</v>
      </c>
      <c r="C997" s="8">
        <f t="shared" si="14"/>
        <v>0.0005717808219</v>
      </c>
      <c r="D997" s="8">
        <v>4145.19</v>
      </c>
      <c r="E997" s="8">
        <f t="shared" si="17"/>
        <v>-0.001625746037</v>
      </c>
      <c r="F997" s="53">
        <v>2.396734093</v>
      </c>
      <c r="G997" s="8">
        <f t="shared" si="16"/>
        <v>0.00006566394775</v>
      </c>
      <c r="H997" s="8">
        <f t="shared" si="11"/>
        <v>4145.19</v>
      </c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54">
        <f t="shared" si="12"/>
        <v>44779</v>
      </c>
      <c r="B998" s="8">
        <f t="shared" si="13"/>
        <v>313327918.1</v>
      </c>
      <c r="C998" s="8">
        <f t="shared" si="14"/>
        <v>0.0005717808219</v>
      </c>
      <c r="D998" s="8">
        <v>4145.19</v>
      </c>
      <c r="E998" s="8">
        <f t="shared" si="17"/>
        <v>0</v>
      </c>
      <c r="F998" s="53">
        <v>2.422412814</v>
      </c>
      <c r="G998" s="8">
        <f t="shared" si="16"/>
        <v>0.00006636747436</v>
      </c>
      <c r="H998" s="8">
        <f t="shared" si="11"/>
        <v>4145.19</v>
      </c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54">
        <f t="shared" si="12"/>
        <v>44780</v>
      </c>
      <c r="B999" s="8">
        <f t="shared" si="13"/>
        <v>313507073</v>
      </c>
      <c r="C999" s="8">
        <f t="shared" si="14"/>
        <v>0.0005717808219</v>
      </c>
      <c r="D999" s="8">
        <v>4145.19</v>
      </c>
      <c r="E999" s="8">
        <f t="shared" si="17"/>
        <v>0</v>
      </c>
      <c r="F999" s="53">
        <v>2.334625381</v>
      </c>
      <c r="G999" s="8">
        <f t="shared" si="16"/>
        <v>0.00006396233921</v>
      </c>
      <c r="H999" s="8">
        <f t="shared" si="11"/>
        <v>4145.19</v>
      </c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54">
        <f t="shared" si="12"/>
        <v>44781</v>
      </c>
      <c r="B1000" s="8">
        <f t="shared" si="13"/>
        <v>313686330.3</v>
      </c>
      <c r="C1000" s="8">
        <f t="shared" si="14"/>
        <v>0.0005717808219</v>
      </c>
      <c r="D1000" s="8">
        <v>4140.06</v>
      </c>
      <c r="E1000" s="8">
        <f t="shared" si="17"/>
        <v>-0.001237578977</v>
      </c>
      <c r="F1000" s="53">
        <v>2.435479325</v>
      </c>
      <c r="G1000" s="8">
        <f t="shared" si="16"/>
        <v>0.00006672546096</v>
      </c>
      <c r="H1000" s="8">
        <f t="shared" si="11"/>
        <v>4140.06</v>
      </c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54">
        <f t="shared" si="12"/>
        <v>44782</v>
      </c>
      <c r="B1001" s="8">
        <f t="shared" si="13"/>
        <v>313865690.1</v>
      </c>
      <c r="C1001" s="8">
        <f t="shared" si="14"/>
        <v>0.0005717808219</v>
      </c>
      <c r="D1001" s="8">
        <v>4122.47</v>
      </c>
      <c r="E1001" s="8">
        <f t="shared" si="17"/>
        <v>-0.004248730695</v>
      </c>
      <c r="F1001" s="53">
        <v>2.37548083</v>
      </c>
      <c r="G1001" s="8">
        <f t="shared" si="16"/>
        <v>0.00006508166658</v>
      </c>
      <c r="H1001" s="8">
        <f t="shared" si="11"/>
        <v>4122.47</v>
      </c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54">
        <f t="shared" si="12"/>
        <v>44783</v>
      </c>
      <c r="B1002" s="8">
        <f t="shared" si="13"/>
        <v>314045152.5</v>
      </c>
      <c r="C1002" s="8">
        <f t="shared" si="14"/>
        <v>0.0005717808219</v>
      </c>
      <c r="D1002" s="8">
        <v>4210.24</v>
      </c>
      <c r="E1002" s="8">
        <f t="shared" si="17"/>
        <v>0.02129063401</v>
      </c>
      <c r="F1002" s="53">
        <v>2.425914931</v>
      </c>
      <c r="G1002" s="8">
        <f t="shared" si="16"/>
        <v>0.00006646342277</v>
      </c>
      <c r="H1002" s="8">
        <f t="shared" si="11"/>
        <v>4210.24</v>
      </c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54">
        <f t="shared" si="12"/>
        <v>44784</v>
      </c>
      <c r="B1003" s="8">
        <f t="shared" si="13"/>
        <v>314224717.5</v>
      </c>
      <c r="C1003" s="8">
        <f t="shared" si="14"/>
        <v>0.0005717808219</v>
      </c>
      <c r="D1003" s="8">
        <v>4207.27</v>
      </c>
      <c r="E1003" s="8">
        <f t="shared" si="17"/>
        <v>-0.0007054229688</v>
      </c>
      <c r="F1003" s="53">
        <v>2.454681475</v>
      </c>
      <c r="G1003" s="8">
        <f t="shared" si="16"/>
        <v>0.00006725154726</v>
      </c>
      <c r="H1003" s="8">
        <f t="shared" si="11"/>
        <v>4207.27</v>
      </c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54">
        <f t="shared" si="12"/>
        <v>44785</v>
      </c>
      <c r="B1004" s="8">
        <f t="shared" si="13"/>
        <v>314404385.2</v>
      </c>
      <c r="C1004" s="8">
        <f t="shared" si="14"/>
        <v>0.0005717808219</v>
      </c>
      <c r="D1004" s="8">
        <v>4280.15</v>
      </c>
      <c r="E1004" s="8">
        <f t="shared" si="17"/>
        <v>0.01732239671</v>
      </c>
      <c r="F1004" s="53">
        <v>2.472205992</v>
      </c>
      <c r="G1004" s="8">
        <f t="shared" si="16"/>
        <v>0.00006773167101</v>
      </c>
      <c r="H1004" s="8">
        <f t="shared" si="11"/>
        <v>4280.15</v>
      </c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54">
        <f t="shared" si="12"/>
        <v>44786</v>
      </c>
      <c r="B1005" s="8">
        <f t="shared" si="13"/>
        <v>314584155.6</v>
      </c>
      <c r="C1005" s="8">
        <f t="shared" si="14"/>
        <v>0.0005717808219</v>
      </c>
      <c r="D1005" s="8">
        <v>4280.15</v>
      </c>
      <c r="E1005" s="8">
        <f t="shared" si="17"/>
        <v>0</v>
      </c>
      <c r="F1005" s="53">
        <v>2.434346773</v>
      </c>
      <c r="G1005" s="8">
        <f t="shared" si="16"/>
        <v>0.00006669443214</v>
      </c>
      <c r="H1005" s="8">
        <f t="shared" si="11"/>
        <v>4280.15</v>
      </c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54">
        <f t="shared" si="12"/>
        <v>44787</v>
      </c>
      <c r="B1006" s="8">
        <f t="shared" si="13"/>
        <v>314764028.7</v>
      </c>
      <c r="C1006" s="8">
        <f t="shared" si="14"/>
        <v>0.0005717808219</v>
      </c>
      <c r="D1006" s="8">
        <v>4280.15</v>
      </c>
      <c r="E1006" s="8">
        <f t="shared" si="17"/>
        <v>0</v>
      </c>
      <c r="F1006" s="53">
        <v>2.469535922</v>
      </c>
      <c r="G1006" s="8">
        <f t="shared" si="16"/>
        <v>0.00006765851841</v>
      </c>
      <c r="H1006" s="8">
        <f t="shared" si="11"/>
        <v>4280.15</v>
      </c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54">
        <f t="shared" si="12"/>
        <v>44788</v>
      </c>
      <c r="B1007" s="8">
        <f t="shared" si="13"/>
        <v>314944004.8</v>
      </c>
      <c r="C1007" s="8">
        <f t="shared" si="14"/>
        <v>0.0005717808219</v>
      </c>
      <c r="D1007" s="8">
        <v>4297.14</v>
      </c>
      <c r="E1007" s="8">
        <f t="shared" si="17"/>
        <v>0.003969487051</v>
      </c>
      <c r="F1007" s="53">
        <v>2.476929041</v>
      </c>
      <c r="G1007" s="8">
        <f t="shared" si="16"/>
        <v>0.00006786106962</v>
      </c>
      <c r="H1007" s="8">
        <f t="shared" si="11"/>
        <v>4297.14</v>
      </c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54">
        <f t="shared" si="12"/>
        <v>44789</v>
      </c>
      <c r="B1008" s="8">
        <f t="shared" si="13"/>
        <v>315124083.7</v>
      </c>
      <c r="C1008" s="8">
        <f t="shared" si="14"/>
        <v>0.0005717808219</v>
      </c>
      <c r="D1008" s="8">
        <v>4305.2</v>
      </c>
      <c r="E1008" s="8">
        <f t="shared" si="17"/>
        <v>0.001875666141</v>
      </c>
      <c r="F1008" s="53">
        <v>2.454060129</v>
      </c>
      <c r="G1008" s="8">
        <f t="shared" si="16"/>
        <v>0.00006723452408</v>
      </c>
      <c r="H1008" s="8">
        <f t="shared" si="11"/>
        <v>4305.2</v>
      </c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54">
        <f t="shared" si="12"/>
        <v>44790</v>
      </c>
      <c r="B1009" s="8">
        <f t="shared" si="13"/>
        <v>315304265.6</v>
      </c>
      <c r="C1009" s="8">
        <f t="shared" si="14"/>
        <v>0.0005717808219</v>
      </c>
      <c r="D1009" s="8">
        <v>4274.04</v>
      </c>
      <c r="E1009" s="8">
        <f t="shared" si="17"/>
        <v>-0.007237758989</v>
      </c>
      <c r="F1009" s="53">
        <v>2.436379871</v>
      </c>
      <c r="G1009" s="8">
        <f t="shared" si="16"/>
        <v>0.00006675013345</v>
      </c>
      <c r="H1009" s="8">
        <f t="shared" si="11"/>
        <v>4274.04</v>
      </c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54">
        <f t="shared" si="12"/>
        <v>44791</v>
      </c>
      <c r="B1010" s="8">
        <f t="shared" si="13"/>
        <v>315484550.6</v>
      </c>
      <c r="C1010" s="8">
        <f t="shared" si="14"/>
        <v>0.0005717808219</v>
      </c>
      <c r="D1010" s="8">
        <v>4238.74</v>
      </c>
      <c r="E1010" s="8">
        <f t="shared" si="17"/>
        <v>-0.008259164631</v>
      </c>
      <c r="F1010" s="53">
        <v>2.511005526</v>
      </c>
      <c r="G1010" s="8">
        <f t="shared" si="16"/>
        <v>0.00006879467195</v>
      </c>
      <c r="H1010" s="8">
        <f t="shared" si="11"/>
        <v>4238.74</v>
      </c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54">
        <f t="shared" si="12"/>
        <v>44792</v>
      </c>
      <c r="B1011" s="8">
        <f t="shared" si="13"/>
        <v>315664938.6</v>
      </c>
      <c r="C1011" s="8">
        <f t="shared" si="14"/>
        <v>0.0005717808219</v>
      </c>
      <c r="D1011" s="8">
        <v>4228.48</v>
      </c>
      <c r="E1011" s="8">
        <f t="shared" si="17"/>
        <v>-0.002420530629</v>
      </c>
      <c r="F1011" s="53">
        <v>2.494086139</v>
      </c>
      <c r="G1011" s="8">
        <f t="shared" si="16"/>
        <v>0.0000683311271</v>
      </c>
      <c r="H1011" s="8">
        <f t="shared" si="11"/>
        <v>4228.48</v>
      </c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54">
        <f t="shared" si="12"/>
        <v>44793</v>
      </c>
      <c r="B1012" s="8">
        <f t="shared" si="13"/>
        <v>315845429.7</v>
      </c>
      <c r="C1012" s="8">
        <f t="shared" si="14"/>
        <v>0.0005717808219</v>
      </c>
      <c r="D1012" s="8">
        <v>4228.48</v>
      </c>
      <c r="E1012" s="8">
        <f t="shared" si="17"/>
        <v>0</v>
      </c>
      <c r="F1012" s="53">
        <v>2.515264876</v>
      </c>
      <c r="G1012" s="8">
        <f t="shared" si="16"/>
        <v>0.00006891136647</v>
      </c>
      <c r="H1012" s="8">
        <f t="shared" si="11"/>
        <v>4228.48</v>
      </c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54">
        <f t="shared" si="12"/>
        <v>44794</v>
      </c>
      <c r="B1013" s="8">
        <f t="shared" si="13"/>
        <v>316026024.1</v>
      </c>
      <c r="C1013" s="8">
        <f t="shared" si="14"/>
        <v>0.0005717808219</v>
      </c>
      <c r="D1013" s="8">
        <v>4228.48</v>
      </c>
      <c r="E1013" s="8">
        <f t="shared" si="17"/>
        <v>0</v>
      </c>
      <c r="F1013" s="53">
        <v>2.617474283</v>
      </c>
      <c r="G1013" s="8">
        <f t="shared" si="16"/>
        <v>0.00007171162419</v>
      </c>
      <c r="H1013" s="8">
        <f t="shared" si="11"/>
        <v>4228.48</v>
      </c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54">
        <f t="shared" si="12"/>
        <v>44795</v>
      </c>
      <c r="B1014" s="8">
        <f t="shared" si="13"/>
        <v>316206721.7</v>
      </c>
      <c r="C1014" s="8">
        <f t="shared" si="14"/>
        <v>0.0005717808219</v>
      </c>
      <c r="D1014" s="8">
        <v>4137.99</v>
      </c>
      <c r="E1014" s="8">
        <f t="shared" si="17"/>
        <v>-0.02140012487</v>
      </c>
      <c r="F1014" s="53">
        <v>2.528329992</v>
      </c>
      <c r="G1014" s="8">
        <f t="shared" si="16"/>
        <v>0.00006926931485</v>
      </c>
      <c r="H1014" s="8">
        <f t="shared" si="11"/>
        <v>4137.99</v>
      </c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54">
        <f t="shared" si="12"/>
        <v>44796</v>
      </c>
      <c r="B1015" s="8">
        <f t="shared" si="13"/>
        <v>316387522.7</v>
      </c>
      <c r="C1015" s="8">
        <f t="shared" si="14"/>
        <v>0.0005717808219</v>
      </c>
      <c r="D1015" s="8">
        <v>4128.73</v>
      </c>
      <c r="E1015" s="8">
        <f t="shared" si="17"/>
        <v>-0.002237801445</v>
      </c>
      <c r="F1015" s="53">
        <v>2.559177248</v>
      </c>
      <c r="G1015" s="8">
        <f t="shared" si="16"/>
        <v>0.00007011444515</v>
      </c>
      <c r="H1015" s="8">
        <f t="shared" si="11"/>
        <v>4128.73</v>
      </c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54">
        <f t="shared" si="12"/>
        <v>44797</v>
      </c>
      <c r="B1016" s="8">
        <f t="shared" si="13"/>
        <v>316568427</v>
      </c>
      <c r="C1016" s="8">
        <f t="shared" si="14"/>
        <v>0.0005717808219</v>
      </c>
      <c r="D1016" s="8">
        <v>4140.77</v>
      </c>
      <c r="E1016" s="8">
        <f t="shared" si="17"/>
        <v>0.002916150971</v>
      </c>
      <c r="F1016" s="53">
        <v>2.55706361</v>
      </c>
      <c r="G1016" s="8">
        <f t="shared" si="16"/>
        <v>0.00007005653726</v>
      </c>
      <c r="H1016" s="8">
        <f t="shared" si="11"/>
        <v>4140.77</v>
      </c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54">
        <f t="shared" si="12"/>
        <v>44798</v>
      </c>
      <c r="B1017" s="8">
        <f t="shared" si="13"/>
        <v>316749434.7</v>
      </c>
      <c r="C1017" s="8">
        <f t="shared" si="14"/>
        <v>0.0005717808219</v>
      </c>
      <c r="D1017" s="8">
        <v>4199.12</v>
      </c>
      <c r="E1017" s="8">
        <f t="shared" si="17"/>
        <v>0.014091582</v>
      </c>
      <c r="F1017" s="53">
        <v>2.565999015</v>
      </c>
      <c r="G1017" s="8">
        <f t="shared" si="16"/>
        <v>0.00007030134288</v>
      </c>
      <c r="H1017" s="8">
        <f t="shared" si="11"/>
        <v>4199.12</v>
      </c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54">
        <f t="shared" si="12"/>
        <v>44799</v>
      </c>
      <c r="B1018" s="8">
        <f t="shared" si="13"/>
        <v>316930546</v>
      </c>
      <c r="C1018" s="8">
        <f t="shared" si="14"/>
        <v>0.0005717808219</v>
      </c>
      <c r="D1018" s="8">
        <v>4057.66</v>
      </c>
      <c r="E1018" s="8">
        <f t="shared" si="17"/>
        <v>-0.03368801082</v>
      </c>
      <c r="F1018" s="53">
        <v>2.58732816</v>
      </c>
      <c r="G1018" s="8">
        <f t="shared" si="16"/>
        <v>0.00007088570301</v>
      </c>
      <c r="H1018" s="8">
        <f t="shared" si="11"/>
        <v>4057.66</v>
      </c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54">
        <f t="shared" si="12"/>
        <v>44800</v>
      </c>
      <c r="B1019" s="8">
        <f t="shared" si="13"/>
        <v>317111760.8</v>
      </c>
      <c r="C1019" s="8">
        <f t="shared" si="14"/>
        <v>0.0005717808219</v>
      </c>
      <c r="D1019" s="8">
        <v>4057.66</v>
      </c>
      <c r="E1019" s="8">
        <f t="shared" si="17"/>
        <v>0</v>
      </c>
      <c r="F1019" s="53">
        <v>2.57682687</v>
      </c>
      <c r="G1019" s="8">
        <f t="shared" si="16"/>
        <v>0.00007059799644</v>
      </c>
      <c r="H1019" s="8">
        <f t="shared" si="11"/>
        <v>4057.66</v>
      </c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54">
        <f t="shared" si="12"/>
        <v>44801</v>
      </c>
      <c r="B1020" s="8">
        <f t="shared" si="13"/>
        <v>317293079.2</v>
      </c>
      <c r="C1020" s="8">
        <f t="shared" si="14"/>
        <v>0.0005717808219</v>
      </c>
      <c r="D1020" s="8">
        <v>4057.66</v>
      </c>
      <c r="E1020" s="8">
        <f t="shared" si="17"/>
        <v>0</v>
      </c>
      <c r="F1020" s="53">
        <v>2.61156803</v>
      </c>
      <c r="G1020" s="8">
        <f t="shared" si="16"/>
        <v>0.00007154980904</v>
      </c>
      <c r="H1020" s="8">
        <f t="shared" si="11"/>
        <v>4057.66</v>
      </c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54">
        <f t="shared" si="12"/>
        <v>44802</v>
      </c>
      <c r="B1021" s="8">
        <f t="shared" si="13"/>
        <v>317474501.3</v>
      </c>
      <c r="C1021" s="8">
        <f t="shared" si="14"/>
        <v>0.0005717808219</v>
      </c>
      <c r="D1021" s="8">
        <v>4030.61</v>
      </c>
      <c r="E1021" s="8">
        <f t="shared" si="17"/>
        <v>-0.006666403789</v>
      </c>
      <c r="F1021" s="53">
        <v>2.615891784</v>
      </c>
      <c r="G1021" s="8">
        <f t="shared" si="16"/>
        <v>0.00007166826805</v>
      </c>
      <c r="H1021" s="8">
        <f t="shared" si="11"/>
        <v>4030.61</v>
      </c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54">
        <f t="shared" si="12"/>
        <v>44803</v>
      </c>
      <c r="B1022" s="8">
        <f t="shared" si="13"/>
        <v>317656027.1</v>
      </c>
      <c r="C1022" s="8">
        <f t="shared" si="14"/>
        <v>0.0005717808219</v>
      </c>
      <c r="D1022" s="8">
        <v>3986.16</v>
      </c>
      <c r="E1022" s="8">
        <f t="shared" si="17"/>
        <v>-0.01102810741</v>
      </c>
      <c r="F1022" s="53">
        <v>2.592932905</v>
      </c>
      <c r="G1022" s="8">
        <f t="shared" si="16"/>
        <v>0.00007103925767</v>
      </c>
      <c r="H1022" s="8">
        <f t="shared" si="11"/>
        <v>3986.16</v>
      </c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54">
        <f t="shared" si="12"/>
        <v>44804</v>
      </c>
      <c r="B1023" s="8">
        <f t="shared" si="13"/>
        <v>317837656.8</v>
      </c>
      <c r="C1023" s="8">
        <f t="shared" si="14"/>
        <v>0.0005717808219</v>
      </c>
      <c r="D1023" s="8">
        <v>3955.0</v>
      </c>
      <c r="E1023" s="8">
        <f t="shared" si="17"/>
        <v>-0.007817046983</v>
      </c>
      <c r="F1023" s="53">
        <v>2.59104719</v>
      </c>
      <c r="G1023" s="8">
        <f t="shared" si="16"/>
        <v>0.00007098759425</v>
      </c>
      <c r="H1023" s="8">
        <f t="shared" si="11"/>
        <v>3955</v>
      </c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54">
        <f t="shared" si="12"/>
        <v>44805</v>
      </c>
      <c r="B1024" s="8">
        <f t="shared" si="13"/>
        <v>318019390.2</v>
      </c>
      <c r="C1024" s="8">
        <f t="shared" si="14"/>
        <v>0.0005717808219</v>
      </c>
      <c r="D1024" s="8">
        <v>3966.85</v>
      </c>
      <c r="E1024" s="8">
        <f t="shared" si="17"/>
        <v>0.002996207332</v>
      </c>
      <c r="F1024" s="53">
        <v>2.623582248</v>
      </c>
      <c r="G1024" s="8">
        <f t="shared" si="16"/>
        <v>0.0000718789657</v>
      </c>
      <c r="H1024" s="8">
        <f t="shared" si="11"/>
        <v>3966.85</v>
      </c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54">
        <f t="shared" si="12"/>
        <v>44806</v>
      </c>
      <c r="B1025" s="8">
        <f t="shared" si="13"/>
        <v>318201227.6</v>
      </c>
      <c r="C1025" s="8">
        <f t="shared" si="14"/>
        <v>0.0005717808219</v>
      </c>
      <c r="D1025" s="8">
        <v>3924.26</v>
      </c>
      <c r="E1025" s="8">
        <f t="shared" si="17"/>
        <v>-0.01073647857</v>
      </c>
      <c r="F1025" s="53">
        <v>2.667046083</v>
      </c>
      <c r="G1025" s="8">
        <f t="shared" si="16"/>
        <v>0.0000730697557</v>
      </c>
      <c r="H1025" s="8">
        <f t="shared" si="11"/>
        <v>3924.26</v>
      </c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54">
        <f t="shared" si="12"/>
        <v>44807</v>
      </c>
      <c r="B1026" s="8">
        <f t="shared" si="13"/>
        <v>318383169</v>
      </c>
      <c r="C1026" s="8">
        <f t="shared" si="14"/>
        <v>0.0005717808219</v>
      </c>
      <c r="D1026" s="8">
        <v>3924.26</v>
      </c>
      <c r="E1026" s="8">
        <f t="shared" si="17"/>
        <v>0</v>
      </c>
      <c r="F1026" s="53">
        <v>2.584948978</v>
      </c>
      <c r="G1026" s="8">
        <f t="shared" si="16"/>
        <v>0.00007082051995</v>
      </c>
      <c r="H1026" s="8">
        <f t="shared" si="11"/>
        <v>3924.26</v>
      </c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>
      <c r="A1027" s="54">
        <f t="shared" si="12"/>
        <v>44808</v>
      </c>
      <c r="B1027" s="8">
        <f t="shared" si="13"/>
        <v>318565214.4</v>
      </c>
      <c r="C1027" s="8">
        <f t="shared" si="14"/>
        <v>0.0005717808219</v>
      </c>
      <c r="D1027" s="8">
        <v>3924.26</v>
      </c>
      <c r="E1027" s="8">
        <f t="shared" si="17"/>
        <v>0</v>
      </c>
      <c r="F1027" s="53">
        <v>2.561795073</v>
      </c>
      <c r="G1027" s="8">
        <f t="shared" si="16"/>
        <v>0.00007018616638</v>
      </c>
      <c r="H1027" s="8">
        <f t="shared" si="11"/>
        <v>3924.26</v>
      </c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>
      <c r="A1028" s="54">
        <f t="shared" si="12"/>
        <v>44809</v>
      </c>
      <c r="B1028" s="8">
        <f t="shared" si="13"/>
        <v>318747363.9</v>
      </c>
      <c r="C1028" s="8">
        <f t="shared" si="14"/>
        <v>0.0005717808219</v>
      </c>
      <c r="D1028" s="8">
        <v>3924.26</v>
      </c>
      <c r="E1028" s="8">
        <f t="shared" si="17"/>
        <v>0</v>
      </c>
      <c r="F1028" s="53">
        <v>2.697279287</v>
      </c>
      <c r="G1028" s="8">
        <f t="shared" si="16"/>
        <v>0.00007389806266</v>
      </c>
      <c r="H1028" s="8">
        <f t="shared" si="11"/>
        <v>3924.26</v>
      </c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>
      <c r="A1029" s="54">
        <f t="shared" si="12"/>
        <v>44810</v>
      </c>
      <c r="B1029" s="8">
        <f t="shared" si="13"/>
        <v>318929617.5</v>
      </c>
      <c r="C1029" s="8">
        <f t="shared" si="14"/>
        <v>0.0005717808219</v>
      </c>
      <c r="D1029" s="8">
        <v>3908.19</v>
      </c>
      <c r="E1029" s="8">
        <f t="shared" si="17"/>
        <v>-0.004095039574</v>
      </c>
      <c r="F1029" s="53">
        <v>2.669326816</v>
      </c>
      <c r="G1029" s="8">
        <f t="shared" si="16"/>
        <v>0.00007313224153</v>
      </c>
      <c r="H1029" s="8">
        <f t="shared" si="11"/>
        <v>3908.19</v>
      </c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>
      <c r="A1030" s="54">
        <f t="shared" si="12"/>
        <v>44811</v>
      </c>
      <c r="B1030" s="8">
        <f t="shared" si="13"/>
        <v>319111975.3</v>
      </c>
      <c r="C1030" s="8">
        <f t="shared" si="14"/>
        <v>0.0005717808219</v>
      </c>
      <c r="D1030" s="8">
        <v>3979.87</v>
      </c>
      <c r="E1030" s="8">
        <f t="shared" si="17"/>
        <v>0.01834097114</v>
      </c>
      <c r="F1030" s="53">
        <v>2.624242961</v>
      </c>
      <c r="G1030" s="8">
        <f t="shared" si="16"/>
        <v>0.00007189706742</v>
      </c>
      <c r="H1030" s="8">
        <f t="shared" si="11"/>
        <v>3979.87</v>
      </c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>
      <c r="A1031" s="54">
        <f t="shared" si="12"/>
        <v>44812</v>
      </c>
      <c r="B1031" s="8">
        <f t="shared" si="13"/>
        <v>319294437.4</v>
      </c>
      <c r="C1031" s="8">
        <f t="shared" si="14"/>
        <v>0.0005717808219</v>
      </c>
      <c r="D1031" s="8">
        <v>4006.18</v>
      </c>
      <c r="E1031" s="8">
        <f t="shared" si="17"/>
        <v>0.006610768693</v>
      </c>
      <c r="F1031" s="53">
        <v>2.770058973</v>
      </c>
      <c r="G1031" s="8">
        <f t="shared" si="16"/>
        <v>0.00007589202666</v>
      </c>
      <c r="H1031" s="8">
        <f t="shared" si="11"/>
        <v>4006.18</v>
      </c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>
      <c r="A1032" s="54">
        <f t="shared" si="12"/>
        <v>44813</v>
      </c>
      <c r="B1032" s="8">
        <f t="shared" si="13"/>
        <v>319477003.9</v>
      </c>
      <c r="C1032" s="8">
        <f t="shared" si="14"/>
        <v>0.0005717808219</v>
      </c>
      <c r="D1032" s="8">
        <v>4067.36</v>
      </c>
      <c r="E1032" s="8">
        <f t="shared" si="17"/>
        <v>0.01527140568</v>
      </c>
      <c r="F1032" s="53">
        <v>2.66511769</v>
      </c>
      <c r="G1032" s="8">
        <f t="shared" si="16"/>
        <v>0.00007301692301</v>
      </c>
      <c r="H1032" s="8">
        <f t="shared" si="11"/>
        <v>4067.36</v>
      </c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>
      <c r="A1033" s="54">
        <f t="shared" si="12"/>
        <v>44814</v>
      </c>
      <c r="B1033" s="8">
        <f t="shared" si="13"/>
        <v>319659674.7</v>
      </c>
      <c r="C1033" s="8">
        <f t="shared" si="14"/>
        <v>0.0005717808219</v>
      </c>
      <c r="D1033" s="8">
        <v>4067.36</v>
      </c>
      <c r="E1033" s="8">
        <f t="shared" si="17"/>
        <v>0</v>
      </c>
      <c r="F1033" s="53">
        <v>2.69794986</v>
      </c>
      <c r="G1033" s="8">
        <f t="shared" si="16"/>
        <v>0.00007391643452</v>
      </c>
      <c r="H1033" s="8">
        <f t="shared" si="11"/>
        <v>4067.36</v>
      </c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>
      <c r="A1034" s="54">
        <f t="shared" si="12"/>
        <v>44815</v>
      </c>
      <c r="B1034" s="8">
        <f t="shared" si="13"/>
        <v>319842450</v>
      </c>
      <c r="C1034" s="8">
        <f t="shared" si="14"/>
        <v>0.0005717808219</v>
      </c>
      <c r="D1034" s="8">
        <v>4067.36</v>
      </c>
      <c r="E1034" s="8">
        <f t="shared" si="17"/>
        <v>0</v>
      </c>
      <c r="F1034" s="53">
        <v>2.758440685</v>
      </c>
      <c r="G1034" s="8">
        <f t="shared" si="16"/>
        <v>0.0000755737174</v>
      </c>
      <c r="H1034" s="8">
        <f t="shared" si="11"/>
        <v>4067.36</v>
      </c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>
      <c r="A1035" s="54">
        <f t="shared" si="12"/>
        <v>44816</v>
      </c>
      <c r="B1035" s="8">
        <f t="shared" si="13"/>
        <v>320025329.7</v>
      </c>
      <c r="C1035" s="8">
        <f t="shared" si="14"/>
        <v>0.0005717808219</v>
      </c>
      <c r="D1035" s="8">
        <v>4110.41</v>
      </c>
      <c r="E1035" s="8">
        <f t="shared" si="17"/>
        <v>0.01058426104</v>
      </c>
      <c r="F1035" s="53">
        <v>2.698215937</v>
      </c>
      <c r="G1035" s="8">
        <f t="shared" si="16"/>
        <v>0.0000739237243</v>
      </c>
      <c r="H1035" s="8">
        <f t="shared" si="11"/>
        <v>4110.41</v>
      </c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>
      <c r="A1036" s="54">
        <f t="shared" si="12"/>
        <v>44817</v>
      </c>
      <c r="B1036" s="8">
        <f t="shared" si="13"/>
        <v>320208314.1</v>
      </c>
      <c r="C1036" s="8">
        <f t="shared" si="14"/>
        <v>0.0005717808219</v>
      </c>
      <c r="D1036" s="8">
        <v>3932.69</v>
      </c>
      <c r="E1036" s="8">
        <f t="shared" si="17"/>
        <v>-0.04323656278</v>
      </c>
      <c r="F1036" s="53">
        <v>2.763608218</v>
      </c>
      <c r="G1036" s="8">
        <f t="shared" si="16"/>
        <v>0.00007571529364</v>
      </c>
      <c r="H1036" s="8">
        <f t="shared" si="11"/>
        <v>3932.69</v>
      </c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>
      <c r="A1037" s="54">
        <f t="shared" si="12"/>
        <v>44818</v>
      </c>
      <c r="B1037" s="8">
        <f t="shared" si="13"/>
        <v>320391403.1</v>
      </c>
      <c r="C1037" s="8">
        <f t="shared" si="14"/>
        <v>0.0005717808219</v>
      </c>
      <c r="D1037" s="8">
        <v>3946.01</v>
      </c>
      <c r="E1037" s="8">
        <f t="shared" si="17"/>
        <v>0.003386994653</v>
      </c>
      <c r="F1037" s="53">
        <v>2.771351663</v>
      </c>
      <c r="G1037" s="8">
        <f t="shared" si="16"/>
        <v>0.00007592744282</v>
      </c>
      <c r="H1037" s="8">
        <f t="shared" si="11"/>
        <v>3946.01</v>
      </c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>
      <c r="A1038" s="54">
        <f t="shared" si="12"/>
        <v>44819</v>
      </c>
      <c r="B1038" s="8">
        <f t="shared" si="13"/>
        <v>320574596.7</v>
      </c>
      <c r="C1038" s="8">
        <f t="shared" si="14"/>
        <v>0.0005717808219</v>
      </c>
      <c r="D1038" s="8">
        <v>3901.35</v>
      </c>
      <c r="E1038" s="8">
        <f t="shared" si="17"/>
        <v>-0.01131776149</v>
      </c>
      <c r="F1038" s="53">
        <v>2.749069131</v>
      </c>
      <c r="G1038" s="8">
        <f t="shared" si="16"/>
        <v>0.00007531696249</v>
      </c>
      <c r="H1038" s="8">
        <f t="shared" si="11"/>
        <v>3901.35</v>
      </c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>
      <c r="A1039" s="54">
        <f t="shared" si="12"/>
        <v>44820</v>
      </c>
      <c r="B1039" s="8">
        <f t="shared" si="13"/>
        <v>320757895.1</v>
      </c>
      <c r="C1039" s="8">
        <f t="shared" si="14"/>
        <v>0.0005717808219</v>
      </c>
      <c r="D1039" s="8">
        <v>3873.33</v>
      </c>
      <c r="E1039" s="8">
        <f t="shared" si="17"/>
        <v>-0.007182129263</v>
      </c>
      <c r="F1039" s="53">
        <v>2.802413161</v>
      </c>
      <c r="G1039" s="8">
        <f t="shared" si="16"/>
        <v>0.00007677844277</v>
      </c>
      <c r="H1039" s="8">
        <f t="shared" si="11"/>
        <v>3873.33</v>
      </c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>
      <c r="A1040" s="54">
        <f t="shared" si="12"/>
        <v>44821</v>
      </c>
      <c r="B1040" s="8">
        <f t="shared" si="13"/>
        <v>320941298.3</v>
      </c>
      <c r="C1040" s="8">
        <f t="shared" si="14"/>
        <v>0.0005717808219</v>
      </c>
      <c r="D1040" s="8">
        <v>3873.33</v>
      </c>
      <c r="E1040" s="8">
        <f t="shared" si="17"/>
        <v>0</v>
      </c>
      <c r="F1040" s="53">
        <v>2.851616831</v>
      </c>
      <c r="G1040" s="8">
        <f t="shared" si="16"/>
        <v>0.00007812648852</v>
      </c>
      <c r="H1040" s="8">
        <f t="shared" si="11"/>
        <v>3873.33</v>
      </c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>
      <c r="A1041" s="54">
        <f t="shared" si="12"/>
        <v>44822</v>
      </c>
      <c r="B1041" s="8">
        <f t="shared" si="13"/>
        <v>321124806.4</v>
      </c>
      <c r="C1041" s="8">
        <f t="shared" si="14"/>
        <v>0.0005717808219</v>
      </c>
      <c r="D1041" s="8">
        <v>3873.33</v>
      </c>
      <c r="E1041" s="8">
        <f t="shared" si="17"/>
        <v>0</v>
      </c>
      <c r="F1041" s="53">
        <v>2.85078589</v>
      </c>
      <c r="G1041" s="8">
        <f t="shared" si="16"/>
        <v>0.00007810372301</v>
      </c>
      <c r="H1041" s="8">
        <f t="shared" si="11"/>
        <v>3873.33</v>
      </c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>
      <c r="A1042" s="54">
        <f t="shared" si="12"/>
        <v>44823</v>
      </c>
      <c r="B1042" s="8">
        <f t="shared" si="13"/>
        <v>321308419.4</v>
      </c>
      <c r="C1042" s="8">
        <f t="shared" si="14"/>
        <v>0.0005717808219</v>
      </c>
      <c r="D1042" s="8">
        <v>3899.89</v>
      </c>
      <c r="E1042" s="8">
        <f t="shared" si="17"/>
        <v>0.006857148758</v>
      </c>
      <c r="F1042" s="53">
        <v>2.835270076</v>
      </c>
      <c r="G1042" s="8">
        <f t="shared" si="16"/>
        <v>0.00007767863222</v>
      </c>
      <c r="H1042" s="8">
        <f t="shared" si="11"/>
        <v>3899.89</v>
      </c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>
      <c r="A1043" s="54">
        <f t="shared" si="12"/>
        <v>44824</v>
      </c>
      <c r="B1043" s="8">
        <f t="shared" si="13"/>
        <v>321492137.4</v>
      </c>
      <c r="C1043" s="8">
        <f t="shared" si="14"/>
        <v>0.0005717808219</v>
      </c>
      <c r="D1043" s="8">
        <v>3855.93</v>
      </c>
      <c r="E1043" s="8">
        <f t="shared" si="17"/>
        <v>-0.0112721128</v>
      </c>
      <c r="F1043" s="53">
        <v>2.855234901</v>
      </c>
      <c r="G1043" s="8">
        <f t="shared" si="16"/>
        <v>0.00007822561373</v>
      </c>
      <c r="H1043" s="8">
        <f t="shared" si="11"/>
        <v>3855.93</v>
      </c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>
      <c r="A1044" s="54">
        <f t="shared" si="12"/>
        <v>44825</v>
      </c>
      <c r="B1044" s="8">
        <f t="shared" si="13"/>
        <v>321675960.5</v>
      </c>
      <c r="C1044" s="8">
        <f t="shared" si="14"/>
        <v>0.0005717808219</v>
      </c>
      <c r="D1044" s="8">
        <v>3789.93</v>
      </c>
      <c r="E1044" s="8">
        <f t="shared" si="17"/>
        <v>-0.0171164933</v>
      </c>
      <c r="F1044" s="53">
        <v>2.812632095</v>
      </c>
      <c r="G1044" s="8">
        <f t="shared" si="16"/>
        <v>0.00007705841356</v>
      </c>
      <c r="H1044" s="8">
        <f t="shared" si="11"/>
        <v>3789.93</v>
      </c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>
      <c r="A1045" s="54">
        <f t="shared" si="12"/>
        <v>44826</v>
      </c>
      <c r="B1045" s="8">
        <f t="shared" si="13"/>
        <v>321859888.6</v>
      </c>
      <c r="C1045" s="8">
        <f t="shared" si="14"/>
        <v>0.0005717808219</v>
      </c>
      <c r="D1045" s="8">
        <v>3757.99</v>
      </c>
      <c r="E1045" s="8">
        <f t="shared" si="17"/>
        <v>-0.008427596288</v>
      </c>
      <c r="F1045" s="53">
        <v>2.841598135</v>
      </c>
      <c r="G1045" s="8">
        <f t="shared" si="16"/>
        <v>0.0000778520037</v>
      </c>
      <c r="H1045" s="8">
        <f t="shared" si="11"/>
        <v>3757.99</v>
      </c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>
      <c r="A1046" s="54">
        <f t="shared" si="12"/>
        <v>44827</v>
      </c>
      <c r="B1046" s="8">
        <f t="shared" si="13"/>
        <v>322043921.9</v>
      </c>
      <c r="C1046" s="8">
        <f t="shared" si="14"/>
        <v>0.0005717808219</v>
      </c>
      <c r="D1046" s="8">
        <v>3693.23</v>
      </c>
      <c r="E1046" s="8">
        <f t="shared" si="17"/>
        <v>-0.01723261637</v>
      </c>
      <c r="F1046" s="53">
        <v>2.871480589</v>
      </c>
      <c r="G1046" s="8">
        <f t="shared" si="16"/>
        <v>0.00007867070107</v>
      </c>
      <c r="H1046" s="8">
        <f t="shared" si="11"/>
        <v>3693.23</v>
      </c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>
      <c r="A1047" s="54">
        <f t="shared" si="12"/>
        <v>44828</v>
      </c>
      <c r="B1047" s="8">
        <f t="shared" si="13"/>
        <v>322228060.5</v>
      </c>
      <c r="C1047" s="8">
        <f t="shared" si="14"/>
        <v>0.0005717808219</v>
      </c>
      <c r="D1047" s="8">
        <v>3693.23</v>
      </c>
      <c r="E1047" s="8">
        <f t="shared" si="17"/>
        <v>0</v>
      </c>
      <c r="F1047" s="53">
        <v>2.840659483</v>
      </c>
      <c r="G1047" s="8">
        <f t="shared" si="16"/>
        <v>0.00007782628721</v>
      </c>
      <c r="H1047" s="8">
        <f t="shared" si="11"/>
        <v>3693.23</v>
      </c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>
      <c r="A1048" s="54">
        <f t="shared" si="12"/>
        <v>44829</v>
      </c>
      <c r="B1048" s="8">
        <f t="shared" si="13"/>
        <v>322412304.3</v>
      </c>
      <c r="C1048" s="8">
        <f t="shared" si="14"/>
        <v>0.0005717808219</v>
      </c>
      <c r="D1048" s="8">
        <v>3693.23</v>
      </c>
      <c r="E1048" s="8">
        <f t="shared" si="17"/>
        <v>0</v>
      </c>
      <c r="F1048" s="53">
        <v>2.872419926</v>
      </c>
      <c r="G1048" s="8">
        <f t="shared" si="16"/>
        <v>0.00007869643633</v>
      </c>
      <c r="H1048" s="8">
        <f t="shared" si="11"/>
        <v>3693.23</v>
      </c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>
      <c r="A1049" s="54">
        <f t="shared" si="12"/>
        <v>44830</v>
      </c>
      <c r="B1049" s="8">
        <f t="shared" si="13"/>
        <v>322596653.5</v>
      </c>
      <c r="C1049" s="8">
        <f t="shared" si="14"/>
        <v>0.0005717808219</v>
      </c>
      <c r="D1049" s="8">
        <v>3655.04</v>
      </c>
      <c r="E1049" s="8">
        <f t="shared" si="17"/>
        <v>-0.01034054202</v>
      </c>
      <c r="F1049" s="53">
        <v>2.934872283</v>
      </c>
      <c r="G1049" s="8">
        <f t="shared" si="16"/>
        <v>0.00008040745981</v>
      </c>
      <c r="H1049" s="8">
        <f t="shared" si="11"/>
        <v>3655.04</v>
      </c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>
      <c r="A1050" s="54">
        <f t="shared" si="12"/>
        <v>44831</v>
      </c>
      <c r="B1050" s="8">
        <f t="shared" si="13"/>
        <v>322781108</v>
      </c>
      <c r="C1050" s="8">
        <f t="shared" si="14"/>
        <v>0.0005717808219</v>
      </c>
      <c r="D1050" s="8">
        <v>3647.29</v>
      </c>
      <c r="E1050" s="8">
        <f t="shared" si="17"/>
        <v>-0.002120359832</v>
      </c>
      <c r="F1050" s="53">
        <v>2.843171897</v>
      </c>
      <c r="G1050" s="8">
        <f t="shared" si="16"/>
        <v>0.00007789512047</v>
      </c>
      <c r="H1050" s="8">
        <f t="shared" si="11"/>
        <v>3647.29</v>
      </c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>
      <c r="A1051" s="54">
        <f t="shared" si="12"/>
        <v>44832</v>
      </c>
      <c r="B1051" s="8">
        <f t="shared" si="13"/>
        <v>322965668.1</v>
      </c>
      <c r="C1051" s="8">
        <f t="shared" si="14"/>
        <v>0.0005717808219</v>
      </c>
      <c r="D1051" s="8">
        <v>3719.04</v>
      </c>
      <c r="E1051" s="8">
        <f t="shared" si="17"/>
        <v>0.01967214014</v>
      </c>
      <c r="F1051" s="53">
        <v>2.865608699</v>
      </c>
      <c r="G1051" s="8">
        <f t="shared" si="16"/>
        <v>0.00007850982737</v>
      </c>
      <c r="H1051" s="8">
        <f t="shared" si="11"/>
        <v>3719.04</v>
      </c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>
      <c r="A1052" s="54">
        <f t="shared" si="12"/>
        <v>44833</v>
      </c>
      <c r="B1052" s="8">
        <f t="shared" si="13"/>
        <v>323150333.7</v>
      </c>
      <c r="C1052" s="8">
        <f t="shared" si="14"/>
        <v>0.0005717808219</v>
      </c>
      <c r="D1052" s="8">
        <v>3640.47</v>
      </c>
      <c r="E1052" s="8">
        <f t="shared" si="17"/>
        <v>-0.02112641972</v>
      </c>
      <c r="F1052" s="53">
        <v>2.933636702</v>
      </c>
      <c r="G1052" s="8">
        <f t="shared" si="16"/>
        <v>0.00008037360827</v>
      </c>
      <c r="H1052" s="8">
        <f t="shared" si="11"/>
        <v>3640.47</v>
      </c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>
      <c r="A1053" s="54">
        <f t="shared" si="12"/>
        <v>44834</v>
      </c>
      <c r="B1053" s="8">
        <f t="shared" si="13"/>
        <v>323335104.8</v>
      </c>
      <c r="C1053" s="8">
        <f t="shared" si="14"/>
        <v>0.0005717808219</v>
      </c>
      <c r="D1053" s="8">
        <v>3585.62</v>
      </c>
      <c r="E1053" s="8">
        <f t="shared" si="17"/>
        <v>-0.01506673589</v>
      </c>
      <c r="F1053" s="53">
        <v>2.941906597</v>
      </c>
      <c r="G1053" s="8">
        <f t="shared" si="16"/>
        <v>0.00008060018074</v>
      </c>
      <c r="H1053" s="8">
        <f t="shared" si="11"/>
        <v>3585.62</v>
      </c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>
      <c r="A1054" s="54">
        <f t="shared" si="12"/>
        <v>44835</v>
      </c>
      <c r="B1054" s="8">
        <f t="shared" si="13"/>
        <v>323519981.6</v>
      </c>
      <c r="C1054" s="8">
        <f t="shared" si="14"/>
        <v>0.0005717808219</v>
      </c>
      <c r="D1054" s="8">
        <v>3585.62</v>
      </c>
      <c r="E1054" s="8">
        <f t="shared" si="17"/>
        <v>0</v>
      </c>
      <c r="F1054" s="53">
        <v>2.867591259</v>
      </c>
      <c r="G1054" s="8">
        <f t="shared" si="16"/>
        <v>0.00007856414408</v>
      </c>
      <c r="H1054" s="8">
        <f t="shared" si="11"/>
        <v>3585.62</v>
      </c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>
      <c r="A1055" s="54">
        <f t="shared" si="12"/>
        <v>44836</v>
      </c>
      <c r="B1055" s="8">
        <f t="shared" si="13"/>
        <v>323704964.2</v>
      </c>
      <c r="C1055" s="8">
        <f t="shared" si="14"/>
        <v>0.0005717808219</v>
      </c>
      <c r="D1055" s="8">
        <v>3585.62</v>
      </c>
      <c r="E1055" s="8">
        <f t="shared" si="17"/>
        <v>0</v>
      </c>
      <c r="F1055" s="53">
        <v>2.938070009</v>
      </c>
      <c r="G1055" s="8">
        <f t="shared" si="16"/>
        <v>0.00008049506874</v>
      </c>
      <c r="H1055" s="8">
        <f t="shared" si="11"/>
        <v>3585.62</v>
      </c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>
      <c r="A1056" s="54">
        <f t="shared" si="12"/>
        <v>44837</v>
      </c>
      <c r="B1056" s="8">
        <f t="shared" si="13"/>
        <v>323890052.4</v>
      </c>
      <c r="C1056" s="8">
        <f t="shared" si="14"/>
        <v>0.0005717808219</v>
      </c>
      <c r="D1056" s="8">
        <v>3678.43</v>
      </c>
      <c r="E1056" s="8">
        <f t="shared" si="17"/>
        <v>0.02588394755</v>
      </c>
      <c r="F1056" s="53">
        <v>2.927853419</v>
      </c>
      <c r="G1056" s="8">
        <f t="shared" si="16"/>
        <v>0.00008021516216</v>
      </c>
      <c r="H1056" s="8">
        <f t="shared" si="11"/>
        <v>3678.43</v>
      </c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>
      <c r="A1057" s="54">
        <f t="shared" si="12"/>
        <v>44838</v>
      </c>
      <c r="B1057" s="8">
        <f t="shared" si="13"/>
        <v>324075246.6</v>
      </c>
      <c r="C1057" s="8">
        <f t="shared" si="14"/>
        <v>0.0005717808219</v>
      </c>
      <c r="D1057" s="8">
        <v>3790.93</v>
      </c>
      <c r="E1057" s="8">
        <f t="shared" si="17"/>
        <v>0.03058370011</v>
      </c>
      <c r="F1057" s="53">
        <v>2.956092685</v>
      </c>
      <c r="G1057" s="8">
        <f t="shared" si="16"/>
        <v>0.00008098884068</v>
      </c>
      <c r="H1057" s="8">
        <f t="shared" si="11"/>
        <v>3790.93</v>
      </c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>
      <c r="A1058" s="54">
        <f t="shared" si="12"/>
        <v>44839</v>
      </c>
      <c r="B1058" s="8">
        <f t="shared" si="13"/>
        <v>324260546.6</v>
      </c>
      <c r="C1058" s="8">
        <f t="shared" si="14"/>
        <v>0.0005717808219</v>
      </c>
      <c r="D1058" s="8">
        <v>3783.28</v>
      </c>
      <c r="E1058" s="8">
        <f t="shared" si="17"/>
        <v>-0.002017974481</v>
      </c>
      <c r="F1058" s="53">
        <v>2.894177256</v>
      </c>
      <c r="G1058" s="8">
        <f t="shared" si="16"/>
        <v>0.00007929252756</v>
      </c>
      <c r="H1058" s="8">
        <f t="shared" si="11"/>
        <v>3783.28</v>
      </c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>
      <c r="A1059" s="54">
        <f t="shared" si="12"/>
        <v>44840</v>
      </c>
      <c r="B1059" s="8">
        <f t="shared" si="13"/>
        <v>324445952.5</v>
      </c>
      <c r="C1059" s="8">
        <f t="shared" si="14"/>
        <v>0.0005717808219</v>
      </c>
      <c r="D1059" s="8">
        <v>3744.52</v>
      </c>
      <c r="E1059" s="8">
        <f t="shared" si="17"/>
        <v>-0.01024507834</v>
      </c>
      <c r="F1059" s="53">
        <v>2.95808613</v>
      </c>
      <c r="G1059" s="8">
        <f t="shared" si="16"/>
        <v>0.00008104345562</v>
      </c>
      <c r="H1059" s="8">
        <f t="shared" si="11"/>
        <v>3744.52</v>
      </c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>
      <c r="A1060" s="54">
        <f t="shared" si="12"/>
        <v>44841</v>
      </c>
      <c r="B1060" s="8">
        <f t="shared" si="13"/>
        <v>324631464.5</v>
      </c>
      <c r="C1060" s="8">
        <f t="shared" si="14"/>
        <v>0.0005717808219</v>
      </c>
      <c r="D1060" s="8">
        <v>3639.66</v>
      </c>
      <c r="E1060" s="8">
        <f t="shared" si="17"/>
        <v>-0.02800358925</v>
      </c>
      <c r="F1060" s="53">
        <v>3.00158399</v>
      </c>
      <c r="G1060" s="8">
        <f t="shared" si="16"/>
        <v>0.00008223517781</v>
      </c>
      <c r="H1060" s="8">
        <f t="shared" si="11"/>
        <v>3639.66</v>
      </c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  <row r="1061">
      <c r="A1061" s="54">
        <f t="shared" si="12"/>
        <v>44842</v>
      </c>
      <c r="B1061" s="8">
        <f t="shared" si="13"/>
        <v>324817082.6</v>
      </c>
      <c r="C1061" s="8">
        <f t="shared" si="14"/>
        <v>0.0005717808219</v>
      </c>
      <c r="D1061" s="8">
        <v>3639.66</v>
      </c>
      <c r="E1061" s="8">
        <f t="shared" si="17"/>
        <v>0</v>
      </c>
      <c r="F1061" s="53">
        <v>3.057669712</v>
      </c>
      <c r="G1061" s="8">
        <f t="shared" si="16"/>
        <v>0.00008377177293</v>
      </c>
      <c r="H1061" s="8">
        <f t="shared" si="11"/>
        <v>3639.66</v>
      </c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</row>
    <row r="1062">
      <c r="A1062" s="54">
        <f t="shared" si="12"/>
        <v>44843</v>
      </c>
      <c r="B1062" s="8">
        <f t="shared" si="13"/>
        <v>325002806.7</v>
      </c>
      <c r="C1062" s="8">
        <f t="shared" si="14"/>
        <v>0.0005717808219</v>
      </c>
      <c r="D1062" s="8">
        <v>3639.66</v>
      </c>
      <c r="E1062" s="8">
        <f t="shared" si="17"/>
        <v>0</v>
      </c>
      <c r="F1062" s="53">
        <v>3.039728844</v>
      </c>
      <c r="G1062" s="8">
        <f t="shared" si="16"/>
        <v>0.0000832802423</v>
      </c>
      <c r="H1062" s="8">
        <f t="shared" si="11"/>
        <v>3639.66</v>
      </c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</row>
    <row r="1063">
      <c r="A1063" s="54">
        <f t="shared" si="12"/>
        <v>44844</v>
      </c>
      <c r="B1063" s="8">
        <f t="shared" si="13"/>
        <v>325188637.1</v>
      </c>
      <c r="C1063" s="8">
        <f t="shared" si="14"/>
        <v>0.0005717808219</v>
      </c>
      <c r="D1063" s="8">
        <v>3612.39</v>
      </c>
      <c r="E1063" s="8">
        <f t="shared" si="17"/>
        <v>-0.007492458087</v>
      </c>
      <c r="F1063" s="53">
        <v>3.057487682</v>
      </c>
      <c r="G1063" s="8">
        <f t="shared" si="16"/>
        <v>0.00008376678581</v>
      </c>
      <c r="H1063" s="8">
        <f t="shared" si="11"/>
        <v>3612.39</v>
      </c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</row>
    <row r="1064">
      <c r="A1064" s="54">
        <f t="shared" si="12"/>
        <v>44845</v>
      </c>
      <c r="B1064" s="8">
        <f t="shared" si="13"/>
        <v>325374573.7</v>
      </c>
      <c r="C1064" s="8">
        <f t="shared" si="14"/>
        <v>0.0005717808219</v>
      </c>
      <c r="D1064" s="8">
        <v>3588.84</v>
      </c>
      <c r="E1064" s="8">
        <f t="shared" si="17"/>
        <v>-0.006519229651</v>
      </c>
      <c r="F1064" s="53">
        <v>3.113919311</v>
      </c>
      <c r="G1064" s="8">
        <f t="shared" si="16"/>
        <v>0.00008531285784</v>
      </c>
      <c r="H1064" s="8">
        <f t="shared" si="11"/>
        <v>3588.84</v>
      </c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</row>
    <row r="1065">
      <c r="A1065" s="54">
        <f t="shared" si="12"/>
        <v>44846</v>
      </c>
      <c r="B1065" s="8">
        <f t="shared" si="13"/>
        <v>325560616.7</v>
      </c>
      <c r="C1065" s="8">
        <f t="shared" si="14"/>
        <v>0.0005717808219</v>
      </c>
      <c r="D1065" s="8">
        <v>3577.03</v>
      </c>
      <c r="E1065" s="8">
        <f t="shared" si="17"/>
        <v>-0.003290756902</v>
      </c>
      <c r="F1065" s="53">
        <v>3.098559587</v>
      </c>
      <c r="G1065" s="8">
        <f t="shared" si="16"/>
        <v>0.00008489204348</v>
      </c>
      <c r="H1065" s="8">
        <f t="shared" si="11"/>
        <v>3577.03</v>
      </c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</row>
    <row r="1066">
      <c r="A1066" s="54">
        <f t="shared" si="12"/>
        <v>44847</v>
      </c>
      <c r="B1066" s="8">
        <f t="shared" si="13"/>
        <v>325746766</v>
      </c>
      <c r="C1066" s="8">
        <f t="shared" si="14"/>
        <v>0.0005717808219</v>
      </c>
      <c r="D1066" s="8">
        <v>3669.91</v>
      </c>
      <c r="E1066" s="8">
        <f t="shared" si="17"/>
        <v>0.02596567543</v>
      </c>
      <c r="F1066" s="53">
        <v>3.081574301</v>
      </c>
      <c r="G1066" s="8">
        <f t="shared" si="16"/>
        <v>0.00008442669318</v>
      </c>
      <c r="H1066" s="8">
        <f t="shared" si="11"/>
        <v>3669.91</v>
      </c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</row>
    <row r="1067">
      <c r="A1067" s="54">
        <f t="shared" si="12"/>
        <v>44848</v>
      </c>
      <c r="B1067" s="8">
        <f t="shared" si="13"/>
        <v>325933021.7</v>
      </c>
      <c r="C1067" s="8">
        <f t="shared" si="14"/>
        <v>0.0005717808219</v>
      </c>
      <c r="D1067" s="8">
        <v>3583.07</v>
      </c>
      <c r="E1067" s="8">
        <f t="shared" si="17"/>
        <v>-0.02366270562</v>
      </c>
      <c r="F1067" s="53">
        <v>3.105653535</v>
      </c>
      <c r="G1067" s="8">
        <f t="shared" si="16"/>
        <v>0.00008508639822</v>
      </c>
      <c r="H1067" s="8">
        <f t="shared" si="11"/>
        <v>3583.07</v>
      </c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</row>
    <row r="1068">
      <c r="A1068" s="54">
        <f t="shared" si="12"/>
        <v>44849</v>
      </c>
      <c r="B1068" s="8">
        <f t="shared" si="13"/>
        <v>326119384</v>
      </c>
      <c r="C1068" s="8">
        <f t="shared" si="14"/>
        <v>0.0005717808219</v>
      </c>
      <c r="D1068" s="8">
        <v>3583.07</v>
      </c>
      <c r="E1068" s="8">
        <f t="shared" si="17"/>
        <v>0</v>
      </c>
      <c r="F1068" s="53">
        <v>3.124127019</v>
      </c>
      <c r="G1068" s="8">
        <f t="shared" si="16"/>
        <v>0.00008559252107</v>
      </c>
      <c r="H1068" s="8">
        <f t="shared" si="11"/>
        <v>3583.07</v>
      </c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</row>
    <row r="1069">
      <c r="A1069" s="54">
        <f t="shared" si="12"/>
        <v>44850</v>
      </c>
      <c r="B1069" s="8">
        <f t="shared" si="13"/>
        <v>326305852.8</v>
      </c>
      <c r="C1069" s="8">
        <f t="shared" si="14"/>
        <v>0.0005717808219</v>
      </c>
      <c r="D1069" s="8">
        <v>3583.07</v>
      </c>
      <c r="E1069" s="8">
        <f t="shared" si="17"/>
        <v>0</v>
      </c>
      <c r="F1069" s="53">
        <v>3.154230475</v>
      </c>
      <c r="G1069" s="8">
        <f t="shared" si="16"/>
        <v>0.00008641727329</v>
      </c>
      <c r="H1069" s="8">
        <f t="shared" si="11"/>
        <v>3583.07</v>
      </c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</row>
    <row r="1070">
      <c r="A1070" s="54">
        <f t="shared" si="12"/>
        <v>44851</v>
      </c>
      <c r="B1070" s="8">
        <f t="shared" si="13"/>
        <v>326492428.2</v>
      </c>
      <c r="C1070" s="8">
        <f t="shared" si="14"/>
        <v>0.0005717808219</v>
      </c>
      <c r="D1070" s="8">
        <v>3677.95</v>
      </c>
      <c r="E1070" s="8">
        <f t="shared" si="17"/>
        <v>0.02648008551</v>
      </c>
      <c r="F1070" s="53">
        <v>3.043342486</v>
      </c>
      <c r="G1070" s="8">
        <f t="shared" si="16"/>
        <v>0.00008337924619</v>
      </c>
      <c r="H1070" s="8">
        <f t="shared" si="11"/>
        <v>3677.95</v>
      </c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</row>
    <row r="1071">
      <c r="A1071" s="54">
        <f t="shared" si="12"/>
        <v>44852</v>
      </c>
      <c r="B1071" s="8">
        <f t="shared" si="13"/>
        <v>326679110.3</v>
      </c>
      <c r="C1071" s="8">
        <f t="shared" si="14"/>
        <v>0.0005717808219</v>
      </c>
      <c r="D1071" s="8">
        <v>3719.98</v>
      </c>
      <c r="E1071" s="8">
        <f t="shared" si="17"/>
        <v>0.01142756155</v>
      </c>
      <c r="F1071" s="53">
        <v>3.258559371</v>
      </c>
      <c r="G1071" s="8">
        <f t="shared" si="16"/>
        <v>0.00008927559921</v>
      </c>
      <c r="H1071" s="8">
        <f t="shared" si="11"/>
        <v>3719.98</v>
      </c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</row>
    <row r="1072">
      <c r="A1072" s="54">
        <f t="shared" si="12"/>
        <v>44853</v>
      </c>
      <c r="B1072" s="8">
        <f t="shared" si="13"/>
        <v>326865899.2</v>
      </c>
      <c r="C1072" s="8">
        <f t="shared" si="14"/>
        <v>0.0005717808219</v>
      </c>
      <c r="D1072" s="8">
        <v>3695.16</v>
      </c>
      <c r="E1072" s="8">
        <f t="shared" si="17"/>
        <v>-0.006672078882</v>
      </c>
      <c r="F1072" s="53">
        <v>3.107332386</v>
      </c>
      <c r="G1072" s="8">
        <f t="shared" si="16"/>
        <v>0.00008513239414</v>
      </c>
      <c r="H1072" s="8">
        <f t="shared" si="11"/>
        <v>3695.16</v>
      </c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</row>
    <row r="1073">
      <c r="A1073" s="54">
        <f t="shared" si="12"/>
        <v>44854</v>
      </c>
      <c r="B1073" s="8">
        <f t="shared" si="13"/>
        <v>327052794.8</v>
      </c>
      <c r="C1073" s="8">
        <f t="shared" si="14"/>
        <v>0.0005717808219</v>
      </c>
      <c r="D1073" s="8">
        <v>3665.78</v>
      </c>
      <c r="E1073" s="8">
        <f t="shared" si="17"/>
        <v>-0.007950941231</v>
      </c>
      <c r="F1073" s="53">
        <v>3.073771181</v>
      </c>
      <c r="G1073" s="8">
        <f t="shared" si="16"/>
        <v>0.00008421290907</v>
      </c>
      <c r="H1073" s="8">
        <f t="shared" si="11"/>
        <v>3665.78</v>
      </c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</row>
    <row r="1074">
      <c r="A1074" s="54">
        <f t="shared" si="12"/>
        <v>44855</v>
      </c>
      <c r="B1074" s="8">
        <f t="shared" si="13"/>
        <v>327239797.4</v>
      </c>
      <c r="C1074" s="8">
        <f t="shared" si="14"/>
        <v>0.0005717808219</v>
      </c>
      <c r="D1074" s="8">
        <v>3752.75</v>
      </c>
      <c r="E1074" s="8">
        <f t="shared" si="17"/>
        <v>0.023724828</v>
      </c>
      <c r="F1074" s="53">
        <v>3.182638756</v>
      </c>
      <c r="G1074" s="8">
        <f t="shared" si="16"/>
        <v>0.00008719558236</v>
      </c>
      <c r="H1074" s="8">
        <f t="shared" si="11"/>
        <v>3752.75</v>
      </c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</row>
    <row r="1075">
      <c r="A1075" s="54">
        <f t="shared" si="12"/>
        <v>44856</v>
      </c>
      <c r="B1075" s="8">
        <f t="shared" si="13"/>
        <v>327426906.8</v>
      </c>
      <c r="C1075" s="8">
        <f t="shared" si="14"/>
        <v>0.0005717808219</v>
      </c>
      <c r="D1075" s="8">
        <v>3752.75</v>
      </c>
      <c r="E1075" s="8">
        <f t="shared" si="17"/>
        <v>0</v>
      </c>
      <c r="F1075" s="53">
        <v>3.127075504</v>
      </c>
      <c r="G1075" s="8">
        <f t="shared" si="16"/>
        <v>0.00008567330148</v>
      </c>
      <c r="H1075" s="8">
        <f t="shared" si="11"/>
        <v>3752.75</v>
      </c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</row>
    <row r="1076">
      <c r="A1076" s="54">
        <f t="shared" si="12"/>
        <v>44857</v>
      </c>
      <c r="B1076" s="8">
        <f t="shared" si="13"/>
        <v>327614123.2</v>
      </c>
      <c r="C1076" s="8">
        <f t="shared" si="14"/>
        <v>0.0005717808219</v>
      </c>
      <c r="D1076" s="8">
        <v>3752.75</v>
      </c>
      <c r="E1076" s="8">
        <f t="shared" si="17"/>
        <v>0</v>
      </c>
      <c r="F1076" s="53">
        <v>3.126313631</v>
      </c>
      <c r="G1076" s="8">
        <f t="shared" si="16"/>
        <v>0.00008565242825</v>
      </c>
      <c r="H1076" s="8">
        <f t="shared" si="11"/>
        <v>3752.75</v>
      </c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</row>
    <row r="1077">
      <c r="A1077" s="54">
        <f t="shared" si="12"/>
        <v>44858</v>
      </c>
      <c r="B1077" s="8">
        <f t="shared" si="13"/>
        <v>327801446.7</v>
      </c>
      <c r="C1077" s="8">
        <f t="shared" si="14"/>
        <v>0.0005717808219</v>
      </c>
      <c r="D1077" s="8">
        <v>3797.34</v>
      </c>
      <c r="E1077" s="8">
        <f t="shared" si="17"/>
        <v>0.01188195323</v>
      </c>
      <c r="F1077" s="53">
        <v>3.190396753</v>
      </c>
      <c r="G1077" s="8">
        <f t="shared" si="16"/>
        <v>0.00008740813022</v>
      </c>
      <c r="H1077" s="8">
        <f t="shared" si="11"/>
        <v>3797.34</v>
      </c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</row>
    <row r="1078">
      <c r="A1078" s="54">
        <f t="shared" si="12"/>
        <v>44859</v>
      </c>
      <c r="B1078" s="8">
        <f t="shared" si="13"/>
        <v>327988877.3</v>
      </c>
      <c r="C1078" s="8">
        <f t="shared" si="14"/>
        <v>0.0005717808219</v>
      </c>
      <c r="D1078" s="8">
        <v>3859.11</v>
      </c>
      <c r="E1078" s="8">
        <f t="shared" si="17"/>
        <v>0.01626664981</v>
      </c>
      <c r="F1078" s="53">
        <v>3.148568711</v>
      </c>
      <c r="G1078" s="8">
        <f t="shared" si="16"/>
        <v>0.00008626215647</v>
      </c>
      <c r="H1078" s="8">
        <f t="shared" si="11"/>
        <v>3859.11</v>
      </c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</row>
    <row r="1079">
      <c r="A1079" s="54">
        <f t="shared" si="12"/>
        <v>44860</v>
      </c>
      <c r="B1079" s="8">
        <f t="shared" si="13"/>
        <v>328176415</v>
      </c>
      <c r="C1079" s="8">
        <f t="shared" si="14"/>
        <v>0.0005717808219</v>
      </c>
      <c r="D1079" s="8">
        <v>3830.6</v>
      </c>
      <c r="E1079" s="8">
        <f t="shared" si="17"/>
        <v>-0.007387713747</v>
      </c>
      <c r="F1079" s="53">
        <v>3.315590523</v>
      </c>
      <c r="G1079" s="8">
        <f t="shared" si="16"/>
        <v>0.00009083809652</v>
      </c>
      <c r="H1079" s="8">
        <f t="shared" si="11"/>
        <v>3830.6</v>
      </c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</row>
    <row r="1080">
      <c r="A1080" s="54">
        <f t="shared" si="12"/>
        <v>44861</v>
      </c>
      <c r="B1080" s="8">
        <f t="shared" si="13"/>
        <v>328364060</v>
      </c>
      <c r="C1080" s="8">
        <f t="shared" si="14"/>
        <v>0.0005717808219</v>
      </c>
      <c r="D1080" s="8">
        <v>3807.3</v>
      </c>
      <c r="E1080" s="8">
        <f t="shared" si="17"/>
        <v>-0.006082598026</v>
      </c>
      <c r="F1080" s="53">
        <v>3.217866186</v>
      </c>
      <c r="G1080" s="8">
        <f t="shared" si="16"/>
        <v>0.00008816071742</v>
      </c>
      <c r="H1080" s="8">
        <f t="shared" si="11"/>
        <v>3807.3</v>
      </c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</row>
    <row r="1081">
      <c r="A1081" s="54">
        <f t="shared" si="12"/>
        <v>44862</v>
      </c>
      <c r="B1081" s="8">
        <f t="shared" si="13"/>
        <v>328551812.3</v>
      </c>
      <c r="C1081" s="8">
        <f t="shared" si="14"/>
        <v>0.0005717808219</v>
      </c>
      <c r="D1081" s="8">
        <v>3901.06</v>
      </c>
      <c r="E1081" s="8">
        <f t="shared" si="17"/>
        <v>0.02462637565</v>
      </c>
      <c r="F1081" s="53">
        <v>3.332531205</v>
      </c>
      <c r="G1081" s="8">
        <f t="shared" si="16"/>
        <v>0.00009130222479</v>
      </c>
      <c r="H1081" s="8">
        <f t="shared" si="11"/>
        <v>3901.06</v>
      </c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</row>
    <row r="1082">
      <c r="A1082" s="54">
        <f t="shared" si="12"/>
        <v>44863</v>
      </c>
      <c r="B1082" s="8">
        <f t="shared" si="13"/>
        <v>328739671.9</v>
      </c>
      <c r="C1082" s="8">
        <f t="shared" si="14"/>
        <v>0.0005717808219</v>
      </c>
      <c r="D1082" s="8">
        <v>3901.06</v>
      </c>
      <c r="E1082" s="8">
        <f t="shared" si="17"/>
        <v>0</v>
      </c>
      <c r="F1082" s="53">
        <v>3.255721936</v>
      </c>
      <c r="G1082" s="8">
        <f t="shared" si="16"/>
        <v>0.00008919786126</v>
      </c>
      <c r="H1082" s="8">
        <f t="shared" si="11"/>
        <v>3901.06</v>
      </c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</row>
    <row r="1083">
      <c r="A1083" s="54">
        <f t="shared" si="12"/>
        <v>44864</v>
      </c>
      <c r="B1083" s="8">
        <f t="shared" si="13"/>
        <v>328927638.9</v>
      </c>
      <c r="C1083" s="8">
        <f t="shared" si="14"/>
        <v>0.0005717808219</v>
      </c>
      <c r="D1083" s="8">
        <v>3901.06</v>
      </c>
      <c r="E1083" s="8">
        <f t="shared" si="17"/>
        <v>0</v>
      </c>
      <c r="F1083" s="53">
        <v>3.203224163</v>
      </c>
      <c r="G1083" s="8">
        <f t="shared" si="16"/>
        <v>0.00008775956611</v>
      </c>
      <c r="H1083" s="8">
        <f t="shared" si="11"/>
        <v>3901.06</v>
      </c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</row>
    <row r="1084">
      <c r="A1084" s="54">
        <f t="shared" si="12"/>
        <v>44865</v>
      </c>
      <c r="B1084" s="8">
        <f t="shared" si="13"/>
        <v>329115713.5</v>
      </c>
      <c r="C1084" s="8">
        <f t="shared" si="14"/>
        <v>0.0005717808219</v>
      </c>
      <c r="D1084" s="8">
        <v>3871.98</v>
      </c>
      <c r="E1084" s="8">
        <f t="shared" si="17"/>
        <v>-0.007454384193</v>
      </c>
      <c r="F1084" s="53">
        <v>3.316950092</v>
      </c>
      <c r="G1084" s="8">
        <f t="shared" si="16"/>
        <v>0.00009087534499</v>
      </c>
      <c r="H1084" s="8">
        <f t="shared" si="11"/>
        <v>3871.98</v>
      </c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</row>
    <row r="1085">
      <c r="A1085" s="54">
        <f t="shared" si="12"/>
        <v>44866</v>
      </c>
      <c r="B1085" s="8">
        <f t="shared" si="13"/>
        <v>329303895.5</v>
      </c>
      <c r="C1085" s="8">
        <f t="shared" si="14"/>
        <v>0.0005717808219</v>
      </c>
      <c r="D1085" s="8">
        <v>3856.1</v>
      </c>
      <c r="E1085" s="8">
        <f t="shared" si="17"/>
        <v>-0.004101260854</v>
      </c>
      <c r="F1085" s="53">
        <v>3.198629905</v>
      </c>
      <c r="G1085" s="8">
        <f t="shared" si="16"/>
        <v>0.00008763369603</v>
      </c>
      <c r="H1085" s="8">
        <f t="shared" si="11"/>
        <v>3856.1</v>
      </c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</row>
    <row r="1086">
      <c r="A1086" s="54">
        <f t="shared" si="12"/>
        <v>44867</v>
      </c>
      <c r="B1086" s="8">
        <f t="shared" si="13"/>
        <v>329492185.2</v>
      </c>
      <c r="C1086" s="8">
        <f t="shared" si="14"/>
        <v>0.0005717808219</v>
      </c>
      <c r="D1086" s="8">
        <v>3759.69</v>
      </c>
      <c r="E1086" s="8">
        <f t="shared" si="17"/>
        <v>-0.02500194497</v>
      </c>
      <c r="F1086" s="53">
        <v>3.234597962</v>
      </c>
      <c r="G1086" s="8">
        <f t="shared" si="16"/>
        <v>0.00008861912225</v>
      </c>
      <c r="H1086" s="8">
        <f t="shared" si="11"/>
        <v>3759.69</v>
      </c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</row>
    <row r="1087">
      <c r="A1087" s="54">
        <f t="shared" si="12"/>
        <v>44868</v>
      </c>
      <c r="B1087" s="8">
        <f t="shared" si="13"/>
        <v>329680582.5</v>
      </c>
      <c r="C1087" s="8">
        <f t="shared" si="14"/>
        <v>0.0005717808219</v>
      </c>
      <c r="D1087" s="8">
        <v>3719.89</v>
      </c>
      <c r="E1087" s="8">
        <f t="shared" si="17"/>
        <v>-0.01058597916</v>
      </c>
      <c r="F1087" s="53">
        <v>3.250853796</v>
      </c>
      <c r="G1087" s="8">
        <f t="shared" si="16"/>
        <v>0.00008906448756</v>
      </c>
      <c r="H1087" s="8">
        <f t="shared" si="11"/>
        <v>3719.89</v>
      </c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</row>
    <row r="1088">
      <c r="A1088" s="54">
        <f t="shared" si="12"/>
        <v>44869</v>
      </c>
      <c r="B1088" s="8">
        <f t="shared" si="13"/>
        <v>329869087.5</v>
      </c>
      <c r="C1088" s="8">
        <f t="shared" si="14"/>
        <v>0.0005717808219</v>
      </c>
      <c r="D1088" s="8">
        <v>3770.55</v>
      </c>
      <c r="E1088" s="8">
        <f t="shared" si="17"/>
        <v>0.01361868227</v>
      </c>
      <c r="F1088" s="53">
        <v>3.320171422</v>
      </c>
      <c r="G1088" s="8">
        <f t="shared" si="16"/>
        <v>0.0000909636006</v>
      </c>
      <c r="H1088" s="8">
        <f t="shared" si="11"/>
        <v>3770.55</v>
      </c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</row>
    <row r="1089">
      <c r="A1089" s="54">
        <f t="shared" si="12"/>
        <v>44870</v>
      </c>
      <c r="B1089" s="8">
        <f t="shared" si="13"/>
        <v>330057700.3</v>
      </c>
      <c r="C1089" s="8">
        <f t="shared" si="14"/>
        <v>0.0005717808219</v>
      </c>
      <c r="D1089" s="8">
        <v>3770.55</v>
      </c>
      <c r="E1089" s="8">
        <f t="shared" si="17"/>
        <v>0</v>
      </c>
      <c r="F1089" s="53">
        <v>3.307394222</v>
      </c>
      <c r="G1089" s="8">
        <f t="shared" si="16"/>
        <v>0.00009061354033</v>
      </c>
      <c r="H1089" s="8">
        <f t="shared" si="11"/>
        <v>3770.55</v>
      </c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</row>
    <row r="1090">
      <c r="A1090" s="54">
        <f t="shared" si="12"/>
        <v>44871</v>
      </c>
      <c r="B1090" s="8">
        <f t="shared" si="13"/>
        <v>330246421</v>
      </c>
      <c r="C1090" s="8">
        <f t="shared" si="14"/>
        <v>0.0005717808219</v>
      </c>
      <c r="D1090" s="8">
        <v>3770.55</v>
      </c>
      <c r="E1090" s="8">
        <f t="shared" si="17"/>
        <v>0</v>
      </c>
      <c r="F1090" s="53">
        <v>3.359331781</v>
      </c>
      <c r="G1090" s="8">
        <f t="shared" si="16"/>
        <v>0.00009203648715</v>
      </c>
      <c r="H1090" s="8">
        <f t="shared" si="11"/>
        <v>3770.55</v>
      </c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</row>
    <row r="1091">
      <c r="A1091" s="54">
        <f t="shared" si="12"/>
        <v>44872</v>
      </c>
      <c r="B1091" s="8">
        <f t="shared" si="13"/>
        <v>330435249.6</v>
      </c>
      <c r="C1091" s="8">
        <f t="shared" si="14"/>
        <v>0.0005717808219</v>
      </c>
      <c r="D1091" s="8">
        <v>3806.8</v>
      </c>
      <c r="E1091" s="8">
        <f t="shared" si="17"/>
        <v>0.009613982045</v>
      </c>
      <c r="F1091" s="53">
        <v>3.287650589</v>
      </c>
      <c r="G1091" s="8">
        <f t="shared" si="16"/>
        <v>0.00009007261888</v>
      </c>
      <c r="H1091" s="8">
        <f t="shared" si="11"/>
        <v>3806.8</v>
      </c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</row>
    <row r="1092">
      <c r="A1092" s="54">
        <f t="shared" si="12"/>
        <v>44873</v>
      </c>
      <c r="B1092" s="8">
        <f t="shared" si="13"/>
        <v>330624186.1</v>
      </c>
      <c r="C1092" s="8">
        <f t="shared" si="14"/>
        <v>0.0005717808219</v>
      </c>
      <c r="D1092" s="8">
        <v>3828.11</v>
      </c>
      <c r="E1092" s="8">
        <f t="shared" si="17"/>
        <v>0.005597877482</v>
      </c>
      <c r="F1092" s="53">
        <v>3.390840961</v>
      </c>
      <c r="G1092" s="8">
        <f t="shared" si="16"/>
        <v>0.00009289975236</v>
      </c>
      <c r="H1092" s="8">
        <f t="shared" si="11"/>
        <v>3828.11</v>
      </c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</row>
    <row r="1093">
      <c r="A1093" s="54">
        <f t="shared" si="12"/>
        <v>44874</v>
      </c>
      <c r="B1093" s="8">
        <f t="shared" si="13"/>
        <v>330813230.7</v>
      </c>
      <c r="C1093" s="8">
        <f t="shared" si="14"/>
        <v>0.0005717808219</v>
      </c>
      <c r="D1093" s="8">
        <v>3748.57</v>
      </c>
      <c r="E1093" s="8">
        <f t="shared" si="17"/>
        <v>-0.02077787733</v>
      </c>
      <c r="F1093" s="53">
        <v>3.367483806</v>
      </c>
      <c r="G1093" s="8">
        <f t="shared" si="16"/>
        <v>0.0000922598303</v>
      </c>
      <c r="H1093" s="8">
        <f t="shared" si="11"/>
        <v>3748.57</v>
      </c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</row>
    <row r="1094">
      <c r="A1094" s="54">
        <f t="shared" si="12"/>
        <v>44875</v>
      </c>
      <c r="B1094" s="8">
        <f t="shared" si="13"/>
        <v>331002383.3</v>
      </c>
      <c r="C1094" s="8">
        <f t="shared" si="14"/>
        <v>0.0005717808219</v>
      </c>
      <c r="D1094" s="8">
        <v>3956.37</v>
      </c>
      <c r="E1094" s="8">
        <f t="shared" si="17"/>
        <v>0.05543447235</v>
      </c>
      <c r="F1094" s="53">
        <v>3.269084518</v>
      </c>
      <c r="G1094" s="8">
        <f t="shared" si="16"/>
        <v>0.0000895639594</v>
      </c>
      <c r="H1094" s="8">
        <f t="shared" si="11"/>
        <v>3956.37</v>
      </c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</row>
    <row r="1095">
      <c r="A1095" s="54">
        <f t="shared" si="12"/>
        <v>44876</v>
      </c>
      <c r="B1095" s="8">
        <f t="shared" si="13"/>
        <v>331191644.1</v>
      </c>
      <c r="C1095" s="8">
        <f t="shared" si="14"/>
        <v>0.0005717808219</v>
      </c>
      <c r="D1095" s="8">
        <v>3992.93</v>
      </c>
      <c r="E1095" s="8">
        <f t="shared" si="17"/>
        <v>0.00924079396</v>
      </c>
      <c r="F1095" s="53">
        <v>3.389295067</v>
      </c>
      <c r="G1095" s="8">
        <f t="shared" si="16"/>
        <v>0.0000928573991</v>
      </c>
      <c r="H1095" s="8">
        <f t="shared" si="11"/>
        <v>3992.93</v>
      </c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</row>
    <row r="1096">
      <c r="A1096" s="54">
        <f t="shared" si="12"/>
        <v>44877</v>
      </c>
      <c r="B1096" s="8">
        <f t="shared" si="13"/>
        <v>331381013.2</v>
      </c>
      <c r="C1096" s="8">
        <f t="shared" si="14"/>
        <v>0.0005717808219</v>
      </c>
      <c r="D1096" s="8">
        <v>3992.93</v>
      </c>
      <c r="E1096" s="8">
        <f t="shared" si="17"/>
        <v>0</v>
      </c>
      <c r="F1096" s="53">
        <v>3.358232301</v>
      </c>
      <c r="G1096" s="8">
        <f t="shared" si="16"/>
        <v>0.00009200636441</v>
      </c>
      <c r="H1096" s="8">
        <f t="shared" si="11"/>
        <v>3992.93</v>
      </c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</row>
    <row r="1097">
      <c r="A1097" s="54">
        <f t="shared" si="12"/>
        <v>44878</v>
      </c>
      <c r="B1097" s="8">
        <f t="shared" si="13"/>
        <v>331570490.5</v>
      </c>
      <c r="C1097" s="8">
        <f t="shared" si="14"/>
        <v>0.0005717808219</v>
      </c>
      <c r="D1097" s="8">
        <v>3992.93</v>
      </c>
      <c r="E1097" s="8">
        <f t="shared" si="17"/>
        <v>0</v>
      </c>
      <c r="F1097" s="53">
        <v>3.377865603</v>
      </c>
      <c r="G1097" s="8">
        <f t="shared" si="16"/>
        <v>0.0000925442631</v>
      </c>
      <c r="H1097" s="8">
        <f t="shared" si="11"/>
        <v>3992.93</v>
      </c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</row>
    <row r="1098">
      <c r="A1098" s="54">
        <f t="shared" si="12"/>
        <v>44879</v>
      </c>
      <c r="B1098" s="8">
        <f t="shared" si="13"/>
        <v>331760076.1</v>
      </c>
      <c r="C1098" s="8">
        <f t="shared" si="14"/>
        <v>0.0005717808219</v>
      </c>
      <c r="D1098" s="8">
        <v>3957.25</v>
      </c>
      <c r="E1098" s="8">
        <f t="shared" si="17"/>
        <v>-0.008935794016</v>
      </c>
      <c r="F1098" s="53">
        <v>3.373444418</v>
      </c>
      <c r="G1098" s="8">
        <f t="shared" si="16"/>
        <v>0.00009242313474</v>
      </c>
      <c r="H1098" s="8">
        <f t="shared" si="11"/>
        <v>3957.25</v>
      </c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</row>
    <row r="1099">
      <c r="A1099" s="54">
        <f t="shared" si="12"/>
        <v>44880</v>
      </c>
      <c r="B1099" s="8">
        <f t="shared" si="13"/>
        <v>331949770.2</v>
      </c>
      <c r="C1099" s="8">
        <f t="shared" si="14"/>
        <v>0.0005717808219</v>
      </c>
      <c r="D1099" s="8">
        <v>3991.73</v>
      </c>
      <c r="E1099" s="8">
        <f t="shared" si="17"/>
        <v>0.008713121486</v>
      </c>
      <c r="F1099" s="53">
        <v>3.395924824</v>
      </c>
      <c r="G1099" s="8">
        <f t="shared" si="16"/>
        <v>0.00009303903627</v>
      </c>
      <c r="H1099" s="8">
        <f t="shared" si="11"/>
        <v>3991.73</v>
      </c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</row>
    <row r="1100">
      <c r="A1100" s="54">
        <f t="shared" si="12"/>
        <v>44881</v>
      </c>
      <c r="B1100" s="8">
        <f t="shared" si="13"/>
        <v>332139572.7</v>
      </c>
      <c r="C1100" s="8">
        <f t="shared" si="14"/>
        <v>0.0005717808219</v>
      </c>
      <c r="D1100" s="8">
        <v>3958.79</v>
      </c>
      <c r="E1100" s="8">
        <f t="shared" si="17"/>
        <v>-0.008252061136</v>
      </c>
      <c r="F1100" s="53">
        <v>3.326798852</v>
      </c>
      <c r="G1100" s="8">
        <f t="shared" si="16"/>
        <v>0.00009114517403</v>
      </c>
      <c r="H1100" s="8">
        <f t="shared" si="11"/>
        <v>3958.79</v>
      </c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</row>
    <row r="1101">
      <c r="A1101" s="54">
        <f t="shared" si="12"/>
        <v>44882</v>
      </c>
      <c r="B1101" s="8">
        <f t="shared" si="13"/>
        <v>332329483.7</v>
      </c>
      <c r="C1101" s="8">
        <f t="shared" si="14"/>
        <v>0.0005717808219</v>
      </c>
      <c r="D1101" s="8">
        <v>3946.56</v>
      </c>
      <c r="E1101" s="8">
        <f t="shared" si="17"/>
        <v>-0.0030893278</v>
      </c>
      <c r="F1101" s="53">
        <v>3.439520251</v>
      </c>
      <c r="G1101" s="8">
        <f t="shared" si="16"/>
        <v>0.00009423343153</v>
      </c>
      <c r="H1101" s="8">
        <f t="shared" si="11"/>
        <v>3946.56</v>
      </c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</row>
    <row r="1102">
      <c r="A1102" s="54">
        <f t="shared" si="12"/>
        <v>44883</v>
      </c>
      <c r="B1102" s="8">
        <f t="shared" si="13"/>
        <v>332519503.4</v>
      </c>
      <c r="C1102" s="8">
        <f t="shared" si="14"/>
        <v>0.0005717808219</v>
      </c>
      <c r="D1102" s="8">
        <v>3965.34</v>
      </c>
      <c r="E1102" s="8">
        <f t="shared" si="17"/>
        <v>0.004758574556</v>
      </c>
      <c r="F1102" s="53">
        <v>3.505600762</v>
      </c>
      <c r="G1102" s="8">
        <f t="shared" si="16"/>
        <v>0.00009604385649</v>
      </c>
      <c r="H1102" s="8">
        <f t="shared" si="11"/>
        <v>3965.34</v>
      </c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</row>
    <row r="1103">
      <c r="A1103" s="54">
        <f t="shared" si="12"/>
        <v>44884</v>
      </c>
      <c r="B1103" s="8">
        <f t="shared" si="13"/>
        <v>332709631.6</v>
      </c>
      <c r="C1103" s="8">
        <f t="shared" si="14"/>
        <v>0.0005717808219</v>
      </c>
      <c r="D1103" s="8">
        <v>3965.34</v>
      </c>
      <c r="E1103" s="8">
        <f t="shared" si="17"/>
        <v>0</v>
      </c>
      <c r="F1103" s="53">
        <v>3.491940487</v>
      </c>
      <c r="G1103" s="8">
        <f t="shared" si="16"/>
        <v>0.00009566960238</v>
      </c>
      <c r="H1103" s="8">
        <f t="shared" si="11"/>
        <v>3965.34</v>
      </c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</row>
    <row r="1104">
      <c r="A1104" s="54">
        <f t="shared" si="12"/>
        <v>44885</v>
      </c>
      <c r="B1104" s="8">
        <f t="shared" si="13"/>
        <v>332899868.6</v>
      </c>
      <c r="C1104" s="8">
        <f t="shared" si="14"/>
        <v>0.0005717808219</v>
      </c>
      <c r="D1104" s="8">
        <v>3965.34</v>
      </c>
      <c r="E1104" s="8">
        <f t="shared" si="17"/>
        <v>0</v>
      </c>
      <c r="F1104" s="53">
        <v>3.414484472</v>
      </c>
      <c r="G1104" s="8">
        <f t="shared" si="16"/>
        <v>0.00009354751978</v>
      </c>
      <c r="H1104" s="8">
        <f t="shared" si="11"/>
        <v>3965.34</v>
      </c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</row>
    <row r="1105">
      <c r="A1105" s="54">
        <f t="shared" si="12"/>
        <v>44886</v>
      </c>
      <c r="B1105" s="8">
        <f t="shared" si="13"/>
        <v>333090214.4</v>
      </c>
      <c r="C1105" s="8">
        <f t="shared" si="14"/>
        <v>0.0005717808219</v>
      </c>
      <c r="D1105" s="8">
        <v>3949.94</v>
      </c>
      <c r="E1105" s="8">
        <f t="shared" si="17"/>
        <v>-0.003883651843</v>
      </c>
      <c r="F1105" s="53">
        <v>3.408438903</v>
      </c>
      <c r="G1105" s="8">
        <f t="shared" si="16"/>
        <v>0.00009338188775</v>
      </c>
      <c r="H1105" s="8">
        <f t="shared" si="11"/>
        <v>3949.94</v>
      </c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</row>
    <row r="1106">
      <c r="A1106" s="54">
        <f t="shared" si="12"/>
        <v>44887</v>
      </c>
      <c r="B1106" s="8">
        <f t="shared" si="13"/>
        <v>333280669</v>
      </c>
      <c r="C1106" s="8">
        <f t="shared" si="14"/>
        <v>0.0005717808219</v>
      </c>
      <c r="D1106" s="8">
        <v>4003.58</v>
      </c>
      <c r="E1106" s="8">
        <f t="shared" si="17"/>
        <v>0.01357995311</v>
      </c>
      <c r="F1106" s="53">
        <v>3.454249054</v>
      </c>
      <c r="G1106" s="8">
        <f t="shared" si="16"/>
        <v>0.00009463696038</v>
      </c>
      <c r="H1106" s="8">
        <f t="shared" si="11"/>
        <v>4003.58</v>
      </c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</row>
    <row r="1107">
      <c r="A1107" s="54">
        <f t="shared" si="12"/>
        <v>44888</v>
      </c>
      <c r="B1107" s="8">
        <f t="shared" si="13"/>
        <v>333471232.5</v>
      </c>
      <c r="C1107" s="8">
        <f t="shared" si="14"/>
        <v>0.0005717808219</v>
      </c>
      <c r="D1107" s="8">
        <v>4027.26</v>
      </c>
      <c r="E1107" s="8">
        <f t="shared" si="17"/>
        <v>0.005914706338</v>
      </c>
      <c r="F1107" s="53">
        <v>3.540284644</v>
      </c>
      <c r="G1107" s="8">
        <f t="shared" si="16"/>
        <v>0.00009699409984</v>
      </c>
      <c r="H1107" s="8">
        <f t="shared" si="11"/>
        <v>4027.26</v>
      </c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</row>
    <row r="1108">
      <c r="A1108" s="54">
        <f t="shared" si="12"/>
        <v>44889</v>
      </c>
      <c r="B1108" s="8">
        <f t="shared" si="13"/>
        <v>333661904.9</v>
      </c>
      <c r="C1108" s="8">
        <f t="shared" si="14"/>
        <v>0.0005717808219</v>
      </c>
      <c r="D1108" s="8">
        <v>4027.26</v>
      </c>
      <c r="E1108" s="8">
        <f t="shared" si="17"/>
        <v>0</v>
      </c>
      <c r="F1108" s="53">
        <v>3.534905504</v>
      </c>
      <c r="G1108" s="8">
        <f t="shared" si="16"/>
        <v>0.00009684672614</v>
      </c>
      <c r="H1108" s="8">
        <f t="shared" si="11"/>
        <v>4027.26</v>
      </c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</row>
    <row r="1109">
      <c r="A1109" s="54">
        <f t="shared" si="12"/>
        <v>44890</v>
      </c>
      <c r="B1109" s="8">
        <f t="shared" si="13"/>
        <v>333852686.4</v>
      </c>
      <c r="C1109" s="8">
        <f t="shared" si="14"/>
        <v>0.0005717808219</v>
      </c>
      <c r="D1109" s="8">
        <v>4026.12</v>
      </c>
      <c r="E1109" s="8">
        <f t="shared" si="17"/>
        <v>-0.000283070872</v>
      </c>
      <c r="F1109" s="53">
        <v>3.577969466</v>
      </c>
      <c r="G1109" s="8">
        <f t="shared" si="16"/>
        <v>0.00009802656071</v>
      </c>
      <c r="H1109" s="8">
        <f t="shared" si="11"/>
        <v>4026.12</v>
      </c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</row>
    <row r="1110">
      <c r="A1110" s="54">
        <f t="shared" si="12"/>
        <v>44891</v>
      </c>
      <c r="B1110" s="8">
        <f t="shared" si="13"/>
        <v>334043577</v>
      </c>
      <c r="C1110" s="8">
        <f t="shared" si="14"/>
        <v>0.0005717808219</v>
      </c>
      <c r="D1110" s="8">
        <v>4026.12</v>
      </c>
      <c r="E1110" s="8">
        <f t="shared" si="17"/>
        <v>0</v>
      </c>
      <c r="F1110" s="53">
        <v>3.551251168</v>
      </c>
      <c r="G1110" s="8">
        <f t="shared" si="16"/>
        <v>0.00009729455255</v>
      </c>
      <c r="H1110" s="8">
        <f t="shared" si="11"/>
        <v>4026.12</v>
      </c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</row>
    <row r="1111">
      <c r="A1111" s="54">
        <f t="shared" si="12"/>
        <v>44892</v>
      </c>
      <c r="B1111" s="8">
        <f t="shared" si="13"/>
        <v>334234576.7</v>
      </c>
      <c r="C1111" s="8">
        <f t="shared" si="14"/>
        <v>0.0005717808219</v>
      </c>
      <c r="D1111" s="8">
        <v>4026.12</v>
      </c>
      <c r="E1111" s="8">
        <f t="shared" si="17"/>
        <v>0</v>
      </c>
      <c r="F1111" s="53">
        <v>3.479304997</v>
      </c>
      <c r="G1111" s="8">
        <f t="shared" si="16"/>
        <v>0.00009532342458</v>
      </c>
      <c r="H1111" s="8">
        <f t="shared" si="11"/>
        <v>4026.12</v>
      </c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</row>
    <row r="1112">
      <c r="A1112" s="54">
        <f t="shared" si="12"/>
        <v>44893</v>
      </c>
      <c r="B1112" s="8">
        <f t="shared" si="13"/>
        <v>334425685.6</v>
      </c>
      <c r="C1112" s="8">
        <f t="shared" si="14"/>
        <v>0.0005717808219</v>
      </c>
      <c r="D1112" s="8">
        <v>3963.94</v>
      </c>
      <c r="E1112" s="8">
        <f t="shared" si="17"/>
        <v>-0.0154441497</v>
      </c>
      <c r="F1112" s="53">
        <v>3.514063957</v>
      </c>
      <c r="G1112" s="8">
        <f t="shared" si="16"/>
        <v>0.00009627572485</v>
      </c>
      <c r="H1112" s="8">
        <f t="shared" si="11"/>
        <v>3963.94</v>
      </c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</row>
    <row r="1113">
      <c r="A1113" s="54">
        <f t="shared" si="12"/>
        <v>44894</v>
      </c>
      <c r="B1113" s="8">
        <f t="shared" si="13"/>
        <v>334616903.8</v>
      </c>
      <c r="C1113" s="8">
        <f t="shared" si="14"/>
        <v>0.0005717808219</v>
      </c>
      <c r="D1113" s="8">
        <v>3957.63</v>
      </c>
      <c r="E1113" s="8">
        <f t="shared" si="17"/>
        <v>-0.001591850533</v>
      </c>
      <c r="F1113" s="53">
        <v>3.565688151</v>
      </c>
      <c r="G1113" s="8">
        <f t="shared" si="16"/>
        <v>0.00009769008633</v>
      </c>
      <c r="H1113" s="8">
        <f t="shared" si="11"/>
        <v>3957.63</v>
      </c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</row>
    <row r="1114">
      <c r="A1114" s="54">
        <f t="shared" si="12"/>
        <v>44895</v>
      </c>
      <c r="B1114" s="8">
        <f t="shared" si="13"/>
        <v>334808231.3</v>
      </c>
      <c r="C1114" s="8">
        <f t="shared" si="14"/>
        <v>0.0005717808219</v>
      </c>
      <c r="D1114" s="8">
        <v>4080.11</v>
      </c>
      <c r="E1114" s="8">
        <f t="shared" si="17"/>
        <v>0.03094781473</v>
      </c>
      <c r="F1114" s="53">
        <v>3.603468952</v>
      </c>
      <c r="G1114" s="8">
        <f t="shared" si="16"/>
        <v>0.00009872517677</v>
      </c>
      <c r="H1114" s="8">
        <f t="shared" si="11"/>
        <v>4080.11</v>
      </c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</row>
    <row r="1115">
      <c r="A1115" s="54">
        <f t="shared" si="12"/>
        <v>44896</v>
      </c>
      <c r="B1115" s="8">
        <f t="shared" si="13"/>
        <v>334999668.2</v>
      </c>
      <c r="C1115" s="8">
        <f t="shared" si="14"/>
        <v>0.0005717808219</v>
      </c>
      <c r="D1115" s="8">
        <v>4076.57</v>
      </c>
      <c r="E1115" s="8">
        <f t="shared" si="17"/>
        <v>-0.000867623667</v>
      </c>
      <c r="F1115" s="53">
        <v>3.64018604</v>
      </c>
      <c r="G1115" s="8">
        <f t="shared" si="16"/>
        <v>0.00009973112438</v>
      </c>
      <c r="H1115" s="8">
        <f t="shared" si="11"/>
        <v>4076.57</v>
      </c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</row>
    <row r="1116">
      <c r="A1116" s="54">
        <f t="shared" si="12"/>
        <v>44897</v>
      </c>
      <c r="B1116" s="8">
        <f t="shared" si="13"/>
        <v>335191214.6</v>
      </c>
      <c r="C1116" s="8">
        <f t="shared" si="14"/>
        <v>0.0005717808219</v>
      </c>
      <c r="D1116" s="8">
        <v>4071.7</v>
      </c>
      <c r="E1116" s="8">
        <f t="shared" si="17"/>
        <v>-0.001194631762</v>
      </c>
      <c r="F1116" s="53">
        <v>3.622095039</v>
      </c>
      <c r="G1116" s="8">
        <f t="shared" si="16"/>
        <v>0.00009923548052</v>
      </c>
      <c r="H1116" s="8">
        <f t="shared" si="11"/>
        <v>4071.7</v>
      </c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</row>
    <row r="1117">
      <c r="A1117" s="54">
        <f t="shared" si="12"/>
        <v>44898</v>
      </c>
      <c r="B1117" s="8">
        <f t="shared" si="13"/>
        <v>335382870.5</v>
      </c>
      <c r="C1117" s="8">
        <f t="shared" si="14"/>
        <v>0.0005717808219</v>
      </c>
      <c r="D1117" s="8">
        <v>4071.7</v>
      </c>
      <c r="E1117" s="8">
        <f t="shared" si="17"/>
        <v>0</v>
      </c>
      <c r="F1117" s="53">
        <v>3.626743103</v>
      </c>
      <c r="G1117" s="8">
        <f t="shared" si="16"/>
        <v>0.00009936282474</v>
      </c>
      <c r="H1117" s="8">
        <f t="shared" si="11"/>
        <v>4071.7</v>
      </c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</row>
    <row r="1118">
      <c r="A1118" s="54">
        <f t="shared" si="12"/>
        <v>44899</v>
      </c>
      <c r="B1118" s="8">
        <f t="shared" si="13"/>
        <v>335574636</v>
      </c>
      <c r="C1118" s="8">
        <f t="shared" si="14"/>
        <v>0.0005717808219</v>
      </c>
      <c r="D1118" s="8">
        <v>4071.7</v>
      </c>
      <c r="E1118" s="8">
        <f t="shared" si="17"/>
        <v>0</v>
      </c>
      <c r="F1118" s="53">
        <v>3.652437314</v>
      </c>
      <c r="G1118" s="8">
        <f t="shared" si="16"/>
        <v>0.0001000667757</v>
      </c>
      <c r="H1118" s="8">
        <f t="shared" si="11"/>
        <v>4071.7</v>
      </c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</row>
    <row r="1119">
      <c r="A1119" s="54">
        <f t="shared" si="12"/>
        <v>44900</v>
      </c>
      <c r="B1119" s="8">
        <f t="shared" si="13"/>
        <v>335766511.2</v>
      </c>
      <c r="C1119" s="8">
        <f t="shared" si="14"/>
        <v>0.0005717808219</v>
      </c>
      <c r="D1119" s="8">
        <v>3998.84</v>
      </c>
      <c r="E1119" s="8">
        <f t="shared" si="17"/>
        <v>-0.01789424565</v>
      </c>
      <c r="F1119" s="53">
        <v>3.635345059</v>
      </c>
      <c r="G1119" s="8">
        <f t="shared" si="16"/>
        <v>0.00009959849477</v>
      </c>
      <c r="H1119" s="8">
        <f t="shared" si="11"/>
        <v>3998.84</v>
      </c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</row>
    <row r="1120">
      <c r="A1120" s="54">
        <f t="shared" si="12"/>
        <v>44901</v>
      </c>
      <c r="B1120" s="8">
        <f t="shared" si="13"/>
        <v>335958496</v>
      </c>
      <c r="C1120" s="8">
        <f t="shared" si="14"/>
        <v>0.0005717808219</v>
      </c>
      <c r="D1120" s="8">
        <v>3941.26</v>
      </c>
      <c r="E1120" s="8">
        <f t="shared" si="17"/>
        <v>-0.01439917576</v>
      </c>
      <c r="F1120" s="53">
        <v>3.707703478</v>
      </c>
      <c r="G1120" s="8">
        <f t="shared" si="16"/>
        <v>0.0001015809172</v>
      </c>
      <c r="H1120" s="8">
        <f t="shared" si="11"/>
        <v>3941.26</v>
      </c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</row>
    <row r="1121">
      <c r="A1121" s="54">
        <f t="shared" si="12"/>
        <v>44902</v>
      </c>
      <c r="B1121" s="8">
        <f t="shared" si="13"/>
        <v>336150590.7</v>
      </c>
      <c r="C1121" s="8">
        <f t="shared" si="14"/>
        <v>0.0005717808219</v>
      </c>
      <c r="D1121" s="8">
        <v>3933.92</v>
      </c>
      <c r="E1121" s="8">
        <f t="shared" si="17"/>
        <v>-0.001862348589</v>
      </c>
      <c r="F1121" s="53">
        <v>3.536211558</v>
      </c>
      <c r="G1121" s="8">
        <f t="shared" si="16"/>
        <v>0.00009688250844</v>
      </c>
      <c r="H1121" s="8">
        <f t="shared" si="11"/>
        <v>3933.92</v>
      </c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</row>
    <row r="1122">
      <c r="A1122" s="54">
        <f t="shared" si="12"/>
        <v>44903</v>
      </c>
      <c r="B1122" s="8">
        <f t="shared" si="13"/>
        <v>336342795.1</v>
      </c>
      <c r="C1122" s="8">
        <f t="shared" si="14"/>
        <v>0.0005717808219</v>
      </c>
      <c r="D1122" s="8">
        <v>3963.51</v>
      </c>
      <c r="E1122" s="8">
        <f t="shared" si="17"/>
        <v>0.007521759466</v>
      </c>
      <c r="F1122" s="53">
        <v>3.604477953</v>
      </c>
      <c r="G1122" s="8">
        <f t="shared" si="16"/>
        <v>0.00009875282063</v>
      </c>
      <c r="H1122" s="8">
        <f t="shared" si="11"/>
        <v>3963.51</v>
      </c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</row>
    <row r="1123">
      <c r="A1123" s="54">
        <f t="shared" si="12"/>
        <v>44904</v>
      </c>
      <c r="B1123" s="8">
        <f t="shared" si="13"/>
        <v>336535109.5</v>
      </c>
      <c r="C1123" s="8">
        <f t="shared" si="14"/>
        <v>0.0005717808219</v>
      </c>
      <c r="D1123" s="8">
        <v>3934.38</v>
      </c>
      <c r="E1123" s="8">
        <f t="shared" si="17"/>
        <v>-0.007349546236</v>
      </c>
      <c r="F1123" s="53">
        <v>3.585865571</v>
      </c>
      <c r="G1123" s="8">
        <f t="shared" si="16"/>
        <v>0.00009824289236</v>
      </c>
      <c r="H1123" s="8">
        <f t="shared" si="11"/>
        <v>3934.38</v>
      </c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</row>
    <row r="1124">
      <c r="A1124" s="54">
        <f t="shared" si="12"/>
        <v>44905</v>
      </c>
      <c r="B1124" s="8">
        <f t="shared" si="13"/>
        <v>336727533.8</v>
      </c>
      <c r="C1124" s="8">
        <f t="shared" si="14"/>
        <v>0.0005717808219</v>
      </c>
      <c r="D1124" s="8">
        <v>3934.38</v>
      </c>
      <c r="E1124" s="8">
        <f t="shared" si="17"/>
        <v>0</v>
      </c>
      <c r="F1124" s="53">
        <v>3.714612158</v>
      </c>
      <c r="G1124" s="8">
        <f t="shared" si="16"/>
        <v>0.0001017701961</v>
      </c>
      <c r="H1124" s="8">
        <f t="shared" si="11"/>
        <v>3934.38</v>
      </c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</row>
    <row r="1125">
      <c r="A1125" s="54">
        <f t="shared" si="12"/>
        <v>44906</v>
      </c>
      <c r="B1125" s="8">
        <f t="shared" si="13"/>
        <v>336920068.1</v>
      </c>
      <c r="C1125" s="8">
        <f t="shared" si="14"/>
        <v>0.0005717808219</v>
      </c>
      <c r="D1125" s="8">
        <v>3934.38</v>
      </c>
      <c r="E1125" s="8">
        <f t="shared" si="17"/>
        <v>0</v>
      </c>
      <c r="F1125" s="53">
        <v>3.676741066</v>
      </c>
      <c r="G1125" s="8">
        <f t="shared" si="16"/>
        <v>0.0001007326319</v>
      </c>
      <c r="H1125" s="8">
        <f t="shared" si="11"/>
        <v>3934.38</v>
      </c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</row>
    <row r="1126">
      <c r="A1126" s="54">
        <f t="shared" si="12"/>
        <v>44907</v>
      </c>
      <c r="B1126" s="8">
        <f t="shared" si="13"/>
        <v>337112712.6</v>
      </c>
      <c r="C1126" s="8">
        <f t="shared" si="14"/>
        <v>0.0005717808219</v>
      </c>
      <c r="D1126" s="8">
        <v>3990.56</v>
      </c>
      <c r="E1126" s="8">
        <f t="shared" si="17"/>
        <v>0.01427925111</v>
      </c>
      <c r="F1126" s="53">
        <v>3.713762608</v>
      </c>
      <c r="G1126" s="8">
        <f t="shared" si="16"/>
        <v>0.0001017469208</v>
      </c>
      <c r="H1126" s="8">
        <f t="shared" si="11"/>
        <v>3990.56</v>
      </c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</row>
    <row r="1127">
      <c r="A1127" s="54">
        <f t="shared" si="12"/>
        <v>44908</v>
      </c>
      <c r="B1127" s="8">
        <f t="shared" si="13"/>
        <v>337305467.2</v>
      </c>
      <c r="C1127" s="8">
        <f t="shared" si="14"/>
        <v>0.0005717808219</v>
      </c>
      <c r="D1127" s="8">
        <v>4019.65</v>
      </c>
      <c r="E1127" s="8">
        <f t="shared" si="17"/>
        <v>0.007289703701</v>
      </c>
      <c r="F1127" s="53">
        <v>3.697943297</v>
      </c>
      <c r="G1127" s="8">
        <f t="shared" si="16"/>
        <v>0.000101313515</v>
      </c>
      <c r="H1127" s="8">
        <f t="shared" si="11"/>
        <v>4019.65</v>
      </c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</row>
    <row r="1128">
      <c r="A1128" s="54">
        <f t="shared" si="12"/>
        <v>44909</v>
      </c>
      <c r="B1128" s="8">
        <f t="shared" si="13"/>
        <v>337498332</v>
      </c>
      <c r="C1128" s="8">
        <f t="shared" si="14"/>
        <v>0.0005717808219</v>
      </c>
      <c r="D1128" s="8">
        <v>3995.32</v>
      </c>
      <c r="E1128" s="8">
        <f t="shared" si="17"/>
        <v>-0.006052765788</v>
      </c>
      <c r="F1128" s="53">
        <v>3.759436339</v>
      </c>
      <c r="G1128" s="8">
        <f t="shared" si="16"/>
        <v>0.0001029982559</v>
      </c>
      <c r="H1128" s="8">
        <f t="shared" si="11"/>
        <v>3995.32</v>
      </c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</row>
    <row r="1129">
      <c r="A1129" s="54">
        <f t="shared" si="12"/>
        <v>44910</v>
      </c>
      <c r="B1129" s="8">
        <f t="shared" si="13"/>
        <v>337691307</v>
      </c>
      <c r="C1129" s="8">
        <f t="shared" si="14"/>
        <v>0.0005717808219</v>
      </c>
      <c r="D1129" s="8">
        <v>3895.75</v>
      </c>
      <c r="E1129" s="8">
        <f t="shared" si="17"/>
        <v>-0.02492165834</v>
      </c>
      <c r="F1129" s="53">
        <v>3.765429942</v>
      </c>
      <c r="G1129" s="8">
        <f t="shared" si="16"/>
        <v>0.0001031624642</v>
      </c>
      <c r="H1129" s="8">
        <f t="shared" si="11"/>
        <v>3895.75</v>
      </c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</row>
    <row r="1130">
      <c r="A1130" s="54">
        <f t="shared" si="12"/>
        <v>44911</v>
      </c>
      <c r="B1130" s="8">
        <f t="shared" si="13"/>
        <v>337884392.4</v>
      </c>
      <c r="C1130" s="8">
        <f t="shared" si="14"/>
        <v>0.0005717808219</v>
      </c>
      <c r="D1130" s="8">
        <v>3852.36</v>
      </c>
      <c r="E1130" s="8">
        <f t="shared" si="17"/>
        <v>-0.01113777835</v>
      </c>
      <c r="F1130" s="53">
        <v>3.597691064</v>
      </c>
      <c r="G1130" s="8">
        <f t="shared" si="16"/>
        <v>0.00009856687847</v>
      </c>
      <c r="H1130" s="8">
        <f t="shared" si="11"/>
        <v>3852.36</v>
      </c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</row>
    <row r="1131">
      <c r="A1131" s="54">
        <f t="shared" si="12"/>
        <v>44912</v>
      </c>
      <c r="B1131" s="8">
        <f t="shared" si="13"/>
        <v>338077588.3</v>
      </c>
      <c r="C1131" s="8">
        <f t="shared" si="14"/>
        <v>0.0005717808219</v>
      </c>
      <c r="D1131" s="8">
        <v>3852.36</v>
      </c>
      <c r="E1131" s="8">
        <f t="shared" si="17"/>
        <v>0</v>
      </c>
      <c r="F1131" s="53">
        <v>3.753374667</v>
      </c>
      <c r="G1131" s="8">
        <f t="shared" si="16"/>
        <v>0.0001028321827</v>
      </c>
      <c r="H1131" s="8">
        <f t="shared" si="11"/>
        <v>3852.36</v>
      </c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</row>
    <row r="1132">
      <c r="A1132" s="54">
        <f t="shared" si="12"/>
        <v>44913</v>
      </c>
      <c r="B1132" s="8">
        <f t="shared" si="13"/>
        <v>338270894.5</v>
      </c>
      <c r="C1132" s="8">
        <f t="shared" si="14"/>
        <v>0.0005717808219</v>
      </c>
      <c r="D1132" s="8">
        <v>3852.36</v>
      </c>
      <c r="E1132" s="8">
        <f t="shared" si="17"/>
        <v>0</v>
      </c>
      <c r="F1132" s="53">
        <v>3.835156572</v>
      </c>
      <c r="G1132" s="8">
        <f t="shared" si="16"/>
        <v>0.0001050727828</v>
      </c>
      <c r="H1132" s="8">
        <f t="shared" si="11"/>
        <v>3852.36</v>
      </c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</row>
    <row r="1133">
      <c r="A1133" s="54">
        <f t="shared" si="12"/>
        <v>44914</v>
      </c>
      <c r="B1133" s="8">
        <f t="shared" si="13"/>
        <v>338464311.4</v>
      </c>
      <c r="C1133" s="8">
        <f t="shared" si="14"/>
        <v>0.0005717808219</v>
      </c>
      <c r="D1133" s="8">
        <v>3817.66</v>
      </c>
      <c r="E1133" s="8">
        <f t="shared" si="17"/>
        <v>-0.009007465554</v>
      </c>
      <c r="F1133" s="53">
        <v>3.821464103</v>
      </c>
      <c r="G1133" s="8">
        <f t="shared" si="16"/>
        <v>0.0001046976467</v>
      </c>
      <c r="H1133" s="8">
        <f t="shared" si="11"/>
        <v>3817.66</v>
      </c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</row>
    <row r="1134">
      <c r="A1134" s="54">
        <f t="shared" si="12"/>
        <v>44915</v>
      </c>
      <c r="B1134" s="8">
        <f t="shared" si="13"/>
        <v>338657838.8</v>
      </c>
      <c r="C1134" s="8">
        <f t="shared" si="14"/>
        <v>0.0005717808219</v>
      </c>
      <c r="D1134" s="8">
        <v>3821.62</v>
      </c>
      <c r="E1134" s="8">
        <f t="shared" si="17"/>
        <v>0.001037284619</v>
      </c>
      <c r="F1134" s="53">
        <v>3.67950659</v>
      </c>
      <c r="G1134" s="8">
        <f t="shared" si="16"/>
        <v>0.0001008083997</v>
      </c>
      <c r="H1134" s="8">
        <f t="shared" si="11"/>
        <v>3821.62</v>
      </c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</row>
    <row r="1135">
      <c r="A1135" s="54">
        <f t="shared" si="12"/>
        <v>44916</v>
      </c>
      <c r="B1135" s="8">
        <f t="shared" si="13"/>
        <v>338851476.8</v>
      </c>
      <c r="C1135" s="8">
        <f t="shared" si="14"/>
        <v>0.0005717808219</v>
      </c>
      <c r="D1135" s="8">
        <v>3878.44</v>
      </c>
      <c r="E1135" s="8">
        <f t="shared" si="17"/>
        <v>0.01486804026</v>
      </c>
      <c r="F1135" s="53">
        <v>3.779390351</v>
      </c>
      <c r="G1135" s="8">
        <f t="shared" si="16"/>
        <v>0.0001035449411</v>
      </c>
      <c r="H1135" s="8">
        <f t="shared" si="11"/>
        <v>3878.44</v>
      </c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</row>
    <row r="1136">
      <c r="A1136" s="54">
        <f t="shared" si="12"/>
        <v>44917</v>
      </c>
      <c r="B1136" s="8">
        <f t="shared" si="13"/>
        <v>339045225.6</v>
      </c>
      <c r="C1136" s="8">
        <f t="shared" si="14"/>
        <v>0.0005717808219</v>
      </c>
      <c r="D1136" s="8">
        <v>3822.39</v>
      </c>
      <c r="E1136" s="8">
        <f t="shared" si="17"/>
        <v>-0.01445168676</v>
      </c>
      <c r="F1136" s="53">
        <v>3.826097172</v>
      </c>
      <c r="G1136" s="8">
        <f t="shared" si="16"/>
        <v>0.0001048245801</v>
      </c>
      <c r="H1136" s="8">
        <f t="shared" si="11"/>
        <v>3822.39</v>
      </c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</row>
    <row r="1137">
      <c r="A1137" s="54">
        <f t="shared" si="12"/>
        <v>44918</v>
      </c>
      <c r="B1137" s="8">
        <f t="shared" si="13"/>
        <v>339239085.1</v>
      </c>
      <c r="C1137" s="8">
        <f t="shared" si="14"/>
        <v>0.0005717808219</v>
      </c>
      <c r="D1137" s="8">
        <v>3844.82</v>
      </c>
      <c r="E1137" s="8">
        <f t="shared" si="17"/>
        <v>0.005868056373</v>
      </c>
      <c r="F1137" s="53">
        <v>3.909539498</v>
      </c>
      <c r="G1137" s="8">
        <f t="shared" si="16"/>
        <v>0.0001071106712</v>
      </c>
      <c r="H1137" s="8">
        <f t="shared" si="11"/>
        <v>3844.82</v>
      </c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</row>
    <row r="1138">
      <c r="A1138" s="54">
        <f t="shared" si="12"/>
        <v>44919</v>
      </c>
      <c r="B1138" s="8">
        <f t="shared" si="13"/>
        <v>339433055.5</v>
      </c>
      <c r="C1138" s="8">
        <f t="shared" si="14"/>
        <v>0.0005717808219</v>
      </c>
      <c r="D1138" s="8">
        <v>3844.82</v>
      </c>
      <c r="E1138" s="8">
        <f t="shared" si="17"/>
        <v>0</v>
      </c>
      <c r="F1138" s="53">
        <v>3.781990719</v>
      </c>
      <c r="G1138" s="8">
        <f t="shared" si="16"/>
        <v>0.0001036161841</v>
      </c>
      <c r="H1138" s="8">
        <f t="shared" si="11"/>
        <v>3844.82</v>
      </c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</row>
    <row r="1139">
      <c r="A1139" s="54">
        <f t="shared" si="12"/>
        <v>44920</v>
      </c>
      <c r="B1139" s="8">
        <f t="shared" si="13"/>
        <v>339627136.9</v>
      </c>
      <c r="C1139" s="8">
        <f t="shared" si="14"/>
        <v>0.0005717808219</v>
      </c>
      <c r="D1139" s="8">
        <v>3844.82</v>
      </c>
      <c r="E1139" s="8">
        <f t="shared" si="17"/>
        <v>0</v>
      </c>
      <c r="F1139" s="53">
        <v>3.783045611</v>
      </c>
      <c r="G1139" s="8">
        <f t="shared" si="16"/>
        <v>0.0001036450852</v>
      </c>
      <c r="H1139" s="8">
        <f t="shared" si="11"/>
        <v>3844.82</v>
      </c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</row>
    <row r="1140">
      <c r="A1140" s="54">
        <f t="shared" si="12"/>
        <v>44921</v>
      </c>
      <c r="B1140" s="8">
        <f t="shared" si="13"/>
        <v>339821329.1</v>
      </c>
      <c r="C1140" s="8">
        <f t="shared" si="14"/>
        <v>0.0005717808219</v>
      </c>
      <c r="D1140" s="8">
        <v>3844.82</v>
      </c>
      <c r="E1140" s="8">
        <f t="shared" si="17"/>
        <v>0</v>
      </c>
      <c r="F1140" s="53">
        <v>3.870525025</v>
      </c>
      <c r="G1140" s="8">
        <f t="shared" si="16"/>
        <v>0.0001060417815</v>
      </c>
      <c r="H1140" s="8">
        <f t="shared" si="11"/>
        <v>3844.82</v>
      </c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</row>
    <row r="1141">
      <c r="A1141" s="54">
        <f t="shared" si="12"/>
        <v>44922</v>
      </c>
      <c r="B1141" s="8">
        <f t="shared" si="13"/>
        <v>340015632.5</v>
      </c>
      <c r="C1141" s="8">
        <f t="shared" si="14"/>
        <v>0.0005717808219</v>
      </c>
      <c r="D1141" s="8">
        <v>3829.25</v>
      </c>
      <c r="E1141" s="8">
        <f t="shared" si="17"/>
        <v>-0.004049604403</v>
      </c>
      <c r="F1141" s="53">
        <v>3.849040735</v>
      </c>
      <c r="G1141" s="8">
        <f t="shared" si="16"/>
        <v>0.0001054531708</v>
      </c>
      <c r="H1141" s="8">
        <f t="shared" si="11"/>
        <v>3829.25</v>
      </c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</row>
    <row r="1142">
      <c r="A1142" s="54">
        <f t="shared" si="12"/>
        <v>44923</v>
      </c>
      <c r="B1142" s="8">
        <f t="shared" si="13"/>
        <v>340210046.9</v>
      </c>
      <c r="C1142" s="8">
        <f t="shared" si="14"/>
        <v>0.0005717808219</v>
      </c>
      <c r="D1142" s="8">
        <v>3788.22</v>
      </c>
      <c r="E1142" s="8">
        <f t="shared" si="17"/>
        <v>-0.01071489195</v>
      </c>
      <c r="F1142" s="53">
        <v>3.833789821</v>
      </c>
      <c r="G1142" s="8">
        <f t="shared" si="16"/>
        <v>0.0001050353376</v>
      </c>
      <c r="H1142" s="8">
        <f t="shared" si="11"/>
        <v>3788.22</v>
      </c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</row>
    <row r="1143">
      <c r="A1143" s="54">
        <f t="shared" si="12"/>
        <v>44924</v>
      </c>
      <c r="B1143" s="8">
        <f t="shared" si="13"/>
        <v>340404572.5</v>
      </c>
      <c r="C1143" s="8">
        <f t="shared" si="14"/>
        <v>0.0005717808219</v>
      </c>
      <c r="D1143" s="8">
        <v>3849.28</v>
      </c>
      <c r="E1143" s="8">
        <f t="shared" si="17"/>
        <v>0.01611838806</v>
      </c>
      <c r="F1143" s="53">
        <v>3.876624036</v>
      </c>
      <c r="G1143" s="8">
        <f t="shared" si="16"/>
        <v>0.0001062088777</v>
      </c>
      <c r="H1143" s="8">
        <f t="shared" si="11"/>
        <v>3849.28</v>
      </c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</row>
    <row r="1144">
      <c r="A1144" s="54">
        <f t="shared" si="12"/>
        <v>44925</v>
      </c>
      <c r="B1144" s="8">
        <f t="shared" si="13"/>
        <v>340599209.3</v>
      </c>
      <c r="C1144" s="8">
        <f t="shared" si="14"/>
        <v>0.0005717808219</v>
      </c>
      <c r="D1144" s="8">
        <v>3839.5</v>
      </c>
      <c r="E1144" s="8">
        <f t="shared" si="17"/>
        <v>-0.002540734891</v>
      </c>
      <c r="F1144" s="53">
        <v>3.92264028</v>
      </c>
      <c r="G1144" s="8">
        <f t="shared" si="16"/>
        <v>0.0001074695967</v>
      </c>
      <c r="H1144" s="8">
        <f t="shared" si="11"/>
        <v>3839.5</v>
      </c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</row>
    <row r="1145">
      <c r="A1145" s="54">
        <f t="shared" si="12"/>
        <v>44926</v>
      </c>
      <c r="B1145" s="8">
        <f t="shared" si="13"/>
        <v>340793957.4</v>
      </c>
      <c r="C1145" s="8">
        <f t="shared" si="14"/>
        <v>0.0005717808219</v>
      </c>
      <c r="D1145" s="8">
        <v>3839.5</v>
      </c>
      <c r="E1145" s="8">
        <f t="shared" si="17"/>
        <v>0</v>
      </c>
      <c r="F1145" s="53">
        <v>3.887016245</v>
      </c>
      <c r="G1145" s="8">
        <f t="shared" si="16"/>
        <v>0.0001064935958</v>
      </c>
      <c r="H1145" s="8">
        <f t="shared" si="11"/>
        <v>3839.5</v>
      </c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</row>
    <row r="1146">
      <c r="A1146" s="54">
        <f t="shared" si="12"/>
        <v>44927</v>
      </c>
      <c r="B1146" s="8">
        <f t="shared" si="13"/>
        <v>341704297.4</v>
      </c>
      <c r="C1146" s="8">
        <f t="shared" si="14"/>
        <v>0.002671232877</v>
      </c>
      <c r="D1146" s="8">
        <v>3839.5</v>
      </c>
      <c r="E1146" s="8">
        <f t="shared" si="17"/>
        <v>0</v>
      </c>
      <c r="F1146" s="53">
        <v>4.963503781</v>
      </c>
      <c r="G1146" s="8">
        <f t="shared" si="16"/>
        <v>0.000135986405</v>
      </c>
      <c r="H1146" s="8">
        <f t="shared" si="11"/>
        <v>3839.5</v>
      </c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</row>
    <row r="1147">
      <c r="A1147" s="54">
        <f t="shared" si="12"/>
        <v>44928</v>
      </c>
      <c r="B1147" s="8">
        <f t="shared" si="13"/>
        <v>342617069.1</v>
      </c>
      <c r="C1147" s="8">
        <f t="shared" si="14"/>
        <v>0.002671232877</v>
      </c>
      <c r="D1147" s="8">
        <v>3839.5</v>
      </c>
      <c r="E1147" s="8">
        <f t="shared" si="17"/>
        <v>0</v>
      </c>
      <c r="F1147" s="53">
        <v>5.03029298</v>
      </c>
      <c r="G1147" s="8">
        <f t="shared" si="16"/>
        <v>0.000137816246</v>
      </c>
      <c r="H1147" s="8">
        <f t="shared" si="11"/>
        <v>3839.5</v>
      </c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</row>
    <row r="1148">
      <c r="A1148" s="54">
        <f t="shared" si="12"/>
        <v>44929</v>
      </c>
      <c r="B1148" s="8">
        <f t="shared" si="13"/>
        <v>343532279.1</v>
      </c>
      <c r="C1148" s="8">
        <f t="shared" si="14"/>
        <v>0.002671232877</v>
      </c>
      <c r="D1148" s="8">
        <v>3824.14</v>
      </c>
      <c r="E1148" s="8">
        <f t="shared" si="17"/>
        <v>-0.004000520901</v>
      </c>
      <c r="F1148" s="53">
        <v>4.937647277</v>
      </c>
      <c r="G1148" s="8">
        <f t="shared" si="16"/>
        <v>0.0001352780076</v>
      </c>
      <c r="H1148" s="8">
        <f t="shared" si="11"/>
        <v>3824.14</v>
      </c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</row>
    <row r="1149">
      <c r="A1149" s="54">
        <f t="shared" si="12"/>
        <v>44930</v>
      </c>
      <c r="B1149" s="8">
        <f t="shared" si="13"/>
        <v>344449933.8</v>
      </c>
      <c r="C1149" s="8">
        <f t="shared" si="14"/>
        <v>0.002671232877</v>
      </c>
      <c r="D1149" s="8">
        <v>3852.97</v>
      </c>
      <c r="E1149" s="8">
        <f t="shared" si="17"/>
        <v>0.007538949934</v>
      </c>
      <c r="F1149" s="53">
        <v>5.089209116</v>
      </c>
      <c r="G1149" s="8">
        <f t="shared" si="16"/>
        <v>0.0001394303867</v>
      </c>
      <c r="H1149" s="8">
        <f t="shared" si="11"/>
        <v>3852.97</v>
      </c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</row>
    <row r="1150">
      <c r="A1150" s="54">
        <f t="shared" si="12"/>
        <v>44931</v>
      </c>
      <c r="B1150" s="8">
        <f t="shared" si="13"/>
        <v>345370039.8</v>
      </c>
      <c r="C1150" s="8">
        <f t="shared" si="14"/>
        <v>0.002671232877</v>
      </c>
      <c r="D1150" s="8">
        <v>3808.1</v>
      </c>
      <c r="E1150" s="8">
        <f t="shared" si="17"/>
        <v>-0.01164556174</v>
      </c>
      <c r="F1150" s="53">
        <v>4.92682076</v>
      </c>
      <c r="G1150" s="8">
        <f t="shared" si="16"/>
        <v>0.0001349813907</v>
      </c>
      <c r="H1150" s="8">
        <f t="shared" si="11"/>
        <v>3808.1</v>
      </c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</row>
    <row r="1151">
      <c r="A1151" s="54">
        <f t="shared" si="12"/>
        <v>44932</v>
      </c>
      <c r="B1151" s="8">
        <f t="shared" si="13"/>
        <v>346292603.6</v>
      </c>
      <c r="C1151" s="8">
        <f t="shared" si="14"/>
        <v>0.002671232877</v>
      </c>
      <c r="D1151" s="8">
        <v>3895.08</v>
      </c>
      <c r="E1151" s="8">
        <f t="shared" si="17"/>
        <v>0.02284078674</v>
      </c>
      <c r="F1151" s="53">
        <v>5.090111194</v>
      </c>
      <c r="G1151" s="8">
        <f t="shared" si="16"/>
        <v>0.0001394551012</v>
      </c>
      <c r="H1151" s="8">
        <f t="shared" si="11"/>
        <v>3895.08</v>
      </c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</row>
    <row r="1152">
      <c r="A1152" s="54">
        <f t="shared" si="12"/>
        <v>44933</v>
      </c>
      <c r="B1152" s="8">
        <f t="shared" si="13"/>
        <v>347217631.8</v>
      </c>
      <c r="C1152" s="8">
        <f t="shared" si="14"/>
        <v>0.002671232877</v>
      </c>
      <c r="D1152" s="8">
        <v>3895.08</v>
      </c>
      <c r="E1152" s="8">
        <f t="shared" si="17"/>
        <v>0</v>
      </c>
      <c r="F1152" s="53">
        <v>4.970993078</v>
      </c>
      <c r="G1152" s="8">
        <f t="shared" si="16"/>
        <v>0.0001361915912</v>
      </c>
      <c r="H1152" s="8">
        <f t="shared" si="11"/>
        <v>3895.08</v>
      </c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</row>
    <row r="1153">
      <c r="A1153" s="54">
        <f t="shared" si="12"/>
        <v>44934</v>
      </c>
      <c r="B1153" s="8">
        <f t="shared" si="13"/>
        <v>348145131</v>
      </c>
      <c r="C1153" s="8">
        <f t="shared" si="14"/>
        <v>0.002671232877</v>
      </c>
      <c r="D1153" s="8">
        <v>3895.08</v>
      </c>
      <c r="E1153" s="8">
        <f t="shared" si="17"/>
        <v>0</v>
      </c>
      <c r="F1153" s="53">
        <v>5.007138248</v>
      </c>
      <c r="G1153" s="8">
        <f t="shared" si="16"/>
        <v>0.0001371818698</v>
      </c>
      <c r="H1153" s="8">
        <f t="shared" si="11"/>
        <v>3895.08</v>
      </c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</row>
    <row r="1154">
      <c r="A1154" s="54">
        <f t="shared" si="12"/>
        <v>44935</v>
      </c>
      <c r="B1154" s="8">
        <f t="shared" si="13"/>
        <v>349075107.7</v>
      </c>
      <c r="C1154" s="8">
        <f t="shared" si="14"/>
        <v>0.002671232877</v>
      </c>
      <c r="D1154" s="8">
        <v>3892.09</v>
      </c>
      <c r="E1154" s="8">
        <f t="shared" si="17"/>
        <v>-0.0007676350678</v>
      </c>
      <c r="F1154" s="53">
        <v>4.959376731</v>
      </c>
      <c r="G1154" s="8">
        <f t="shared" si="16"/>
        <v>0.0001358733351</v>
      </c>
      <c r="H1154" s="8">
        <f t="shared" si="11"/>
        <v>3892.09</v>
      </c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</row>
    <row r="1155">
      <c r="A1155" s="54">
        <f t="shared" si="12"/>
        <v>44936</v>
      </c>
      <c r="B1155" s="8">
        <f t="shared" si="13"/>
        <v>350007568.6</v>
      </c>
      <c r="C1155" s="8">
        <f t="shared" si="14"/>
        <v>0.002671232877</v>
      </c>
      <c r="D1155" s="8">
        <v>3919.25</v>
      </c>
      <c r="E1155" s="8">
        <f t="shared" si="17"/>
        <v>0.006978255899</v>
      </c>
      <c r="F1155" s="53">
        <v>4.977558888</v>
      </c>
      <c r="G1155" s="8">
        <f t="shared" si="16"/>
        <v>0.0001363714764</v>
      </c>
      <c r="H1155" s="8">
        <f t="shared" si="11"/>
        <v>3919.25</v>
      </c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</row>
    <row r="1156">
      <c r="A1156" s="54">
        <f t="shared" si="12"/>
        <v>44937</v>
      </c>
      <c r="B1156" s="8">
        <f t="shared" si="13"/>
        <v>350942520.3</v>
      </c>
      <c r="C1156" s="8">
        <f t="shared" si="14"/>
        <v>0.002671232877</v>
      </c>
      <c r="D1156" s="8">
        <v>3969.61</v>
      </c>
      <c r="E1156" s="8">
        <f t="shared" si="17"/>
        <v>0.01284939721</v>
      </c>
      <c r="F1156" s="53">
        <v>4.965538825</v>
      </c>
      <c r="G1156" s="8">
        <f t="shared" si="16"/>
        <v>0.0001360421596</v>
      </c>
      <c r="H1156" s="8">
        <f t="shared" si="11"/>
        <v>3969.61</v>
      </c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</row>
    <row r="1157">
      <c r="A1157" s="54">
        <f t="shared" si="12"/>
        <v>44938</v>
      </c>
      <c r="B1157" s="8">
        <f t="shared" si="13"/>
        <v>351879969.5</v>
      </c>
      <c r="C1157" s="8">
        <f t="shared" si="14"/>
        <v>0.002671232877</v>
      </c>
      <c r="D1157" s="8">
        <v>3983.17</v>
      </c>
      <c r="E1157" s="8">
        <f t="shared" si="17"/>
        <v>0.003415952701</v>
      </c>
      <c r="F1157" s="53">
        <v>5.008482084</v>
      </c>
      <c r="G1157" s="8">
        <f t="shared" si="16"/>
        <v>0.0001372186872</v>
      </c>
      <c r="H1157" s="8">
        <f t="shared" si="11"/>
        <v>3983.17</v>
      </c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</row>
    <row r="1158">
      <c r="A1158" s="54">
        <f t="shared" si="12"/>
        <v>44939</v>
      </c>
      <c r="B1158" s="8">
        <f t="shared" si="13"/>
        <v>352819922.9</v>
      </c>
      <c r="C1158" s="8">
        <f t="shared" si="14"/>
        <v>0.002671232877</v>
      </c>
      <c r="D1158" s="8">
        <v>3999.09</v>
      </c>
      <c r="E1158" s="8">
        <f t="shared" si="17"/>
        <v>0.003996816606</v>
      </c>
      <c r="F1158" s="53">
        <v>5.005424858</v>
      </c>
      <c r="G1158" s="8">
        <f t="shared" si="16"/>
        <v>0.0001371349276</v>
      </c>
      <c r="H1158" s="8">
        <f t="shared" si="11"/>
        <v>3999.09</v>
      </c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</row>
    <row r="1159">
      <c r="A1159" s="54">
        <f t="shared" si="12"/>
        <v>44940</v>
      </c>
      <c r="B1159" s="8">
        <f t="shared" si="13"/>
        <v>353762387</v>
      </c>
      <c r="C1159" s="8">
        <f t="shared" si="14"/>
        <v>0.002671232877</v>
      </c>
      <c r="D1159" s="8">
        <v>3999.09</v>
      </c>
      <c r="E1159" s="8">
        <f t="shared" si="17"/>
        <v>0</v>
      </c>
      <c r="F1159" s="53">
        <v>4.935269334</v>
      </c>
      <c r="G1159" s="8">
        <f t="shared" si="16"/>
        <v>0.0001352128585</v>
      </c>
      <c r="H1159" s="8">
        <f t="shared" si="11"/>
        <v>3999.09</v>
      </c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</row>
    <row r="1160">
      <c r="A1160" s="54">
        <f t="shared" si="12"/>
        <v>44941</v>
      </c>
      <c r="B1160" s="8">
        <f t="shared" si="13"/>
        <v>354707368.8</v>
      </c>
      <c r="C1160" s="8">
        <f t="shared" si="14"/>
        <v>0.002671232877</v>
      </c>
      <c r="D1160" s="8">
        <v>3999.09</v>
      </c>
      <c r="E1160" s="8">
        <f t="shared" si="17"/>
        <v>0</v>
      </c>
      <c r="F1160" s="53">
        <v>5.010781265</v>
      </c>
      <c r="G1160" s="8">
        <f t="shared" si="16"/>
        <v>0.0001372816785</v>
      </c>
      <c r="H1160" s="8">
        <f t="shared" si="11"/>
        <v>3999.09</v>
      </c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</row>
    <row r="1161">
      <c r="A1161" s="54">
        <f t="shared" si="12"/>
        <v>44942</v>
      </c>
      <c r="B1161" s="8">
        <f t="shared" si="13"/>
        <v>355654874.7</v>
      </c>
      <c r="C1161" s="8">
        <f t="shared" si="14"/>
        <v>0.002671232877</v>
      </c>
      <c r="D1161" s="8">
        <v>3999.09</v>
      </c>
      <c r="E1161" s="8">
        <f t="shared" si="17"/>
        <v>0</v>
      </c>
      <c r="F1161" s="53">
        <v>4.985090015</v>
      </c>
      <c r="G1161" s="8">
        <f t="shared" si="16"/>
        <v>0.0001365778086</v>
      </c>
      <c r="H1161" s="8">
        <f t="shared" si="11"/>
        <v>3999.09</v>
      </c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</row>
    <row r="1162">
      <c r="A1162" s="54">
        <f t="shared" si="12"/>
        <v>44943</v>
      </c>
      <c r="B1162" s="8">
        <f t="shared" si="13"/>
        <v>356604911.7</v>
      </c>
      <c r="C1162" s="8">
        <f t="shared" si="14"/>
        <v>0.002671232877</v>
      </c>
      <c r="D1162" s="8">
        <v>3990.97</v>
      </c>
      <c r="E1162" s="8">
        <f t="shared" si="17"/>
        <v>-0.00203046193</v>
      </c>
      <c r="F1162" s="53">
        <v>4.973207712</v>
      </c>
      <c r="G1162" s="8">
        <f t="shared" si="16"/>
        <v>0.0001362522661</v>
      </c>
      <c r="H1162" s="8">
        <f t="shared" si="11"/>
        <v>3990.97</v>
      </c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</row>
    <row r="1163">
      <c r="A1163" s="54">
        <f t="shared" si="12"/>
        <v>44944</v>
      </c>
      <c r="B1163" s="8">
        <f t="shared" si="13"/>
        <v>357557486.5</v>
      </c>
      <c r="C1163" s="8">
        <f t="shared" si="14"/>
        <v>0.002671232877</v>
      </c>
      <c r="D1163" s="8">
        <v>3928.86</v>
      </c>
      <c r="E1163" s="8">
        <f t="shared" si="17"/>
        <v>-0.01556263264</v>
      </c>
      <c r="F1163" s="53">
        <v>5.012170087</v>
      </c>
      <c r="G1163" s="8">
        <f t="shared" si="16"/>
        <v>0.0001373197284</v>
      </c>
      <c r="H1163" s="8">
        <f t="shared" si="11"/>
        <v>3928.86</v>
      </c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</row>
    <row r="1164">
      <c r="A1164" s="54">
        <f t="shared" si="12"/>
        <v>44945</v>
      </c>
      <c r="B1164" s="8">
        <f t="shared" si="13"/>
        <v>358512605.8</v>
      </c>
      <c r="C1164" s="8">
        <f t="shared" si="14"/>
        <v>0.002671232877</v>
      </c>
      <c r="D1164" s="8">
        <v>3898.85</v>
      </c>
      <c r="E1164" s="8">
        <f t="shared" si="17"/>
        <v>-0.00763834802</v>
      </c>
      <c r="F1164" s="53">
        <v>5.065947581</v>
      </c>
      <c r="G1164" s="8">
        <f t="shared" si="16"/>
        <v>0.0001387930844</v>
      </c>
      <c r="H1164" s="8">
        <f t="shared" si="11"/>
        <v>3898.85</v>
      </c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</row>
    <row r="1165">
      <c r="A1165" s="54">
        <f t="shared" si="12"/>
        <v>44946</v>
      </c>
      <c r="B1165" s="8">
        <f t="shared" si="13"/>
        <v>359470276.5</v>
      </c>
      <c r="C1165" s="8">
        <f t="shared" si="14"/>
        <v>0.002671232877</v>
      </c>
      <c r="D1165" s="8">
        <v>3972.61</v>
      </c>
      <c r="E1165" s="8">
        <f t="shared" si="17"/>
        <v>0.01891839902</v>
      </c>
      <c r="F1165" s="53">
        <v>5.01762674</v>
      </c>
      <c r="G1165" s="8">
        <f t="shared" si="16"/>
        <v>0.0001374692258</v>
      </c>
      <c r="H1165" s="8">
        <f t="shared" si="11"/>
        <v>3972.61</v>
      </c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</row>
    <row r="1166">
      <c r="A1166" s="54">
        <f t="shared" si="12"/>
        <v>44947</v>
      </c>
      <c r="B1166" s="8">
        <f t="shared" si="13"/>
        <v>360430505.3</v>
      </c>
      <c r="C1166" s="8">
        <f t="shared" si="14"/>
        <v>0.002671232877</v>
      </c>
      <c r="D1166" s="8">
        <v>3972.61</v>
      </c>
      <c r="E1166" s="8">
        <f t="shared" si="17"/>
        <v>0</v>
      </c>
      <c r="F1166" s="53">
        <v>5.025766526</v>
      </c>
      <c r="G1166" s="8">
        <f t="shared" si="16"/>
        <v>0.0001376922336</v>
      </c>
      <c r="H1166" s="8">
        <f t="shared" si="11"/>
        <v>3972.61</v>
      </c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</row>
    <row r="1167">
      <c r="A1167" s="54">
        <f t="shared" si="12"/>
        <v>44948</v>
      </c>
      <c r="B1167" s="8">
        <f t="shared" si="13"/>
        <v>361393299.1</v>
      </c>
      <c r="C1167" s="8">
        <f t="shared" si="14"/>
        <v>0.002671232877</v>
      </c>
      <c r="D1167" s="8">
        <v>3972.61</v>
      </c>
      <c r="E1167" s="8">
        <f t="shared" si="17"/>
        <v>0</v>
      </c>
      <c r="F1167" s="53">
        <v>4.975969291</v>
      </c>
      <c r="G1167" s="8">
        <f t="shared" si="16"/>
        <v>0.0001363279258</v>
      </c>
      <c r="H1167" s="8">
        <f t="shared" si="11"/>
        <v>3972.61</v>
      </c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</row>
    <row r="1168">
      <c r="A1168" s="54">
        <f t="shared" si="12"/>
        <v>44949</v>
      </c>
      <c r="B1168" s="8">
        <f t="shared" si="13"/>
        <v>362358664.8</v>
      </c>
      <c r="C1168" s="8">
        <f t="shared" si="14"/>
        <v>0.002671232877</v>
      </c>
      <c r="D1168" s="8">
        <v>4019.81</v>
      </c>
      <c r="E1168" s="8">
        <f t="shared" si="17"/>
        <v>0.0118813576</v>
      </c>
      <c r="F1168" s="53">
        <v>5.004194523</v>
      </c>
      <c r="G1168" s="8">
        <f t="shared" si="16"/>
        <v>0.0001371012198</v>
      </c>
      <c r="H1168" s="8">
        <f t="shared" si="11"/>
        <v>4019.81</v>
      </c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</row>
    <row r="1169">
      <c r="A1169" s="54">
        <f t="shared" si="12"/>
        <v>44950</v>
      </c>
      <c r="B1169" s="8">
        <f t="shared" si="13"/>
        <v>363326609.1</v>
      </c>
      <c r="C1169" s="8">
        <f t="shared" si="14"/>
        <v>0.002671232877</v>
      </c>
      <c r="D1169" s="8">
        <v>4016.95</v>
      </c>
      <c r="E1169" s="8">
        <f t="shared" si="17"/>
        <v>-0.0007114764131</v>
      </c>
      <c r="F1169" s="53">
        <v>5.009973675</v>
      </c>
      <c r="G1169" s="8">
        <f t="shared" si="16"/>
        <v>0.0001372595527</v>
      </c>
      <c r="H1169" s="8">
        <f t="shared" si="11"/>
        <v>4016.95</v>
      </c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</row>
    <row r="1170">
      <c r="A1170" s="54">
        <f t="shared" si="12"/>
        <v>44951</v>
      </c>
      <c r="B1170" s="8">
        <f t="shared" si="13"/>
        <v>364297139.1</v>
      </c>
      <c r="C1170" s="8">
        <f t="shared" si="14"/>
        <v>0.002671232877</v>
      </c>
      <c r="D1170" s="8">
        <v>4016.22</v>
      </c>
      <c r="E1170" s="8">
        <f t="shared" si="17"/>
        <v>-0.0001817299195</v>
      </c>
      <c r="F1170" s="53">
        <v>5.025803604</v>
      </c>
      <c r="G1170" s="8">
        <f t="shared" si="16"/>
        <v>0.0001376932494</v>
      </c>
      <c r="H1170" s="8">
        <f t="shared" si="11"/>
        <v>4016.22</v>
      </c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</row>
    <row r="1171">
      <c r="A1171" s="54">
        <f t="shared" si="12"/>
        <v>44952</v>
      </c>
      <c r="B1171" s="8">
        <f t="shared" si="13"/>
        <v>365270261.6</v>
      </c>
      <c r="C1171" s="8">
        <f t="shared" si="14"/>
        <v>0.002671232877</v>
      </c>
      <c r="D1171" s="8">
        <v>4060.43</v>
      </c>
      <c r="E1171" s="8">
        <f t="shared" si="17"/>
        <v>0.01100786312</v>
      </c>
      <c r="F1171" s="53">
        <v>4.88424407</v>
      </c>
      <c r="G1171" s="8">
        <f t="shared" si="16"/>
        <v>0.000133814906</v>
      </c>
      <c r="H1171" s="8">
        <f t="shared" si="11"/>
        <v>4060.43</v>
      </c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</row>
    <row r="1172">
      <c r="A1172" s="54">
        <f t="shared" si="12"/>
        <v>44953</v>
      </c>
      <c r="B1172" s="8">
        <f t="shared" si="13"/>
        <v>366245983.6</v>
      </c>
      <c r="C1172" s="8">
        <f t="shared" si="14"/>
        <v>0.002671232877</v>
      </c>
      <c r="D1172" s="8">
        <v>4070.56</v>
      </c>
      <c r="E1172" s="8">
        <f t="shared" si="17"/>
        <v>0.002494809663</v>
      </c>
      <c r="F1172" s="53">
        <v>5.080944566</v>
      </c>
      <c r="G1172" s="8">
        <f t="shared" si="16"/>
        <v>0.0001392039607</v>
      </c>
      <c r="H1172" s="8">
        <f t="shared" si="11"/>
        <v>4070.56</v>
      </c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</row>
    <row r="1173">
      <c r="A1173" s="54">
        <f t="shared" si="12"/>
        <v>44954</v>
      </c>
      <c r="B1173" s="8">
        <f t="shared" si="13"/>
        <v>367224311.9</v>
      </c>
      <c r="C1173" s="8">
        <f t="shared" si="14"/>
        <v>0.002671232877</v>
      </c>
      <c r="D1173" s="8">
        <v>4070.56</v>
      </c>
      <c r="E1173" s="8">
        <f t="shared" si="17"/>
        <v>0</v>
      </c>
      <c r="F1173" s="53">
        <v>5.101502037</v>
      </c>
      <c r="G1173" s="8">
        <f t="shared" si="16"/>
        <v>0.0001397671791</v>
      </c>
      <c r="H1173" s="8">
        <f t="shared" si="11"/>
        <v>4070.56</v>
      </c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</row>
    <row r="1174">
      <c r="A1174" s="54">
        <f t="shared" si="12"/>
        <v>44955</v>
      </c>
      <c r="B1174" s="8">
        <f t="shared" si="13"/>
        <v>368205253.5</v>
      </c>
      <c r="C1174" s="8">
        <f t="shared" si="14"/>
        <v>0.002671232877</v>
      </c>
      <c r="D1174" s="8">
        <v>4070.56</v>
      </c>
      <c r="E1174" s="8">
        <f t="shared" si="17"/>
        <v>0</v>
      </c>
      <c r="F1174" s="53">
        <v>4.935516181</v>
      </c>
      <c r="G1174" s="8">
        <f t="shared" si="16"/>
        <v>0.0001352196214</v>
      </c>
      <c r="H1174" s="8">
        <f t="shared" si="11"/>
        <v>4070.56</v>
      </c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</row>
    <row r="1175">
      <c r="A1175" s="54">
        <f t="shared" si="12"/>
        <v>44956</v>
      </c>
      <c r="B1175" s="8">
        <f t="shared" si="13"/>
        <v>369188815.5</v>
      </c>
      <c r="C1175" s="8">
        <f t="shared" si="14"/>
        <v>0.002671232877</v>
      </c>
      <c r="D1175" s="8">
        <v>4017.77</v>
      </c>
      <c r="E1175" s="8">
        <f t="shared" si="17"/>
        <v>-0.01296873158</v>
      </c>
      <c r="F1175" s="53">
        <v>5.038231066</v>
      </c>
      <c r="G1175" s="8">
        <f t="shared" si="16"/>
        <v>0.0001380337278</v>
      </c>
      <c r="H1175" s="8">
        <f t="shared" si="11"/>
        <v>4017.77</v>
      </c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</row>
    <row r="1176">
      <c r="A1176" s="54">
        <f t="shared" si="12"/>
        <v>44957</v>
      </c>
      <c r="B1176" s="8">
        <f t="shared" si="13"/>
        <v>370175004.8</v>
      </c>
      <c r="C1176" s="8">
        <f t="shared" si="14"/>
        <v>0.002671232877</v>
      </c>
      <c r="D1176" s="8">
        <v>4076.6</v>
      </c>
      <c r="E1176" s="8">
        <f t="shared" si="17"/>
        <v>0.01464245091</v>
      </c>
      <c r="F1176" s="53">
        <v>4.989097358</v>
      </c>
      <c r="G1176" s="8">
        <f t="shared" si="16"/>
        <v>0.0001366875988</v>
      </c>
      <c r="H1176" s="8">
        <f t="shared" si="11"/>
        <v>4076.6</v>
      </c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</row>
    <row r="1177">
      <c r="A1177" s="54">
        <f t="shared" si="12"/>
        <v>44958</v>
      </c>
      <c r="B1177" s="8">
        <f t="shared" si="13"/>
        <v>371163828.4</v>
      </c>
      <c r="C1177" s="8">
        <f t="shared" si="14"/>
        <v>0.002671232877</v>
      </c>
      <c r="D1177" s="8">
        <v>4119.21</v>
      </c>
      <c r="E1177" s="8">
        <f t="shared" si="17"/>
        <v>0.01045233773</v>
      </c>
      <c r="F1177" s="53">
        <v>5.016145215</v>
      </c>
      <c r="G1177" s="8">
        <f t="shared" si="16"/>
        <v>0.000137428636</v>
      </c>
      <c r="H1177" s="8">
        <f t="shared" si="11"/>
        <v>4119.21</v>
      </c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</row>
    <row r="1178">
      <c r="A1178" s="54">
        <f t="shared" si="12"/>
        <v>44959</v>
      </c>
      <c r="B1178" s="8">
        <f t="shared" si="13"/>
        <v>372155293.5</v>
      </c>
      <c r="C1178" s="8">
        <f t="shared" si="14"/>
        <v>0.002671232877</v>
      </c>
      <c r="D1178" s="8">
        <v>4179.76</v>
      </c>
      <c r="E1178" s="8">
        <f t="shared" si="17"/>
        <v>0.01469942052</v>
      </c>
      <c r="F1178" s="53">
        <v>5.004508351</v>
      </c>
      <c r="G1178" s="8">
        <f t="shared" si="16"/>
        <v>0.0001371098178</v>
      </c>
      <c r="H1178" s="8">
        <f t="shared" si="11"/>
        <v>4179.76</v>
      </c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</row>
    <row r="1179">
      <c r="A1179" s="54">
        <f t="shared" si="12"/>
        <v>44960</v>
      </c>
      <c r="B1179" s="8">
        <f t="shared" si="13"/>
        <v>373149406.9</v>
      </c>
      <c r="C1179" s="8">
        <f t="shared" si="14"/>
        <v>0.002671232877</v>
      </c>
      <c r="D1179" s="8">
        <v>4136.48</v>
      </c>
      <c r="E1179" s="8">
        <f t="shared" si="17"/>
        <v>-0.01035466151</v>
      </c>
      <c r="F1179" s="53">
        <v>4.965589393</v>
      </c>
      <c r="G1179" s="8">
        <f t="shared" si="16"/>
        <v>0.000136043545</v>
      </c>
      <c r="H1179" s="8">
        <f t="shared" si="11"/>
        <v>4136.48</v>
      </c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</row>
    <row r="1180">
      <c r="A1180" s="54">
        <f t="shared" si="12"/>
        <v>44961</v>
      </c>
      <c r="B1180" s="8">
        <f t="shared" si="13"/>
        <v>374146175.9</v>
      </c>
      <c r="C1180" s="8">
        <f t="shared" si="14"/>
        <v>0.002671232877</v>
      </c>
      <c r="D1180" s="8">
        <v>4136.48</v>
      </c>
      <c r="E1180" s="8">
        <f t="shared" si="17"/>
        <v>0</v>
      </c>
      <c r="F1180" s="53">
        <v>5.046260175</v>
      </c>
      <c r="G1180" s="8">
        <f t="shared" si="16"/>
        <v>0.0001382537034</v>
      </c>
      <c r="H1180" s="8">
        <f t="shared" si="11"/>
        <v>4136.48</v>
      </c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</row>
    <row r="1181">
      <c r="A1181" s="54">
        <f t="shared" si="12"/>
        <v>44962</v>
      </c>
      <c r="B1181" s="8">
        <f t="shared" si="13"/>
        <v>375145607.5</v>
      </c>
      <c r="C1181" s="8">
        <f t="shared" si="14"/>
        <v>0.002671232877</v>
      </c>
      <c r="D1181" s="8">
        <v>4136.48</v>
      </c>
      <c r="E1181" s="8">
        <f t="shared" si="17"/>
        <v>0</v>
      </c>
      <c r="F1181" s="53">
        <v>4.995667866</v>
      </c>
      <c r="G1181" s="8">
        <f t="shared" si="16"/>
        <v>0.0001368676128</v>
      </c>
      <c r="H1181" s="8">
        <f t="shared" si="11"/>
        <v>4136.48</v>
      </c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</row>
    <row r="1182">
      <c r="A1182" s="54">
        <f t="shared" si="12"/>
        <v>44963</v>
      </c>
      <c r="B1182" s="8">
        <f t="shared" si="13"/>
        <v>376147708.7</v>
      </c>
      <c r="C1182" s="8">
        <f t="shared" si="14"/>
        <v>0.002671232877</v>
      </c>
      <c r="D1182" s="8">
        <v>4111.08</v>
      </c>
      <c r="E1182" s="8">
        <f t="shared" si="17"/>
        <v>-0.006140486597</v>
      </c>
      <c r="F1182" s="53">
        <v>4.968647174</v>
      </c>
      <c r="G1182" s="8">
        <f t="shared" si="16"/>
        <v>0.0001361273198</v>
      </c>
      <c r="H1182" s="8">
        <f t="shared" si="11"/>
        <v>4111.08</v>
      </c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</row>
    <row r="1183">
      <c r="A1183" s="54">
        <f t="shared" si="12"/>
        <v>44964</v>
      </c>
      <c r="B1183" s="8">
        <f t="shared" si="13"/>
        <v>377152486.9</v>
      </c>
      <c r="C1183" s="8">
        <f t="shared" si="14"/>
        <v>0.002671232877</v>
      </c>
      <c r="D1183" s="8">
        <v>4164.0</v>
      </c>
      <c r="E1183" s="8">
        <f t="shared" si="17"/>
        <v>0.01287252985</v>
      </c>
      <c r="F1183" s="53">
        <v>5.017493557</v>
      </c>
      <c r="G1183" s="8">
        <f t="shared" si="16"/>
        <v>0.0001374655769</v>
      </c>
      <c r="H1183" s="8">
        <f t="shared" si="11"/>
        <v>4164</v>
      </c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</row>
    <row r="1184">
      <c r="A1184" s="54">
        <f t="shared" si="12"/>
        <v>44965</v>
      </c>
      <c r="B1184" s="8">
        <f t="shared" si="13"/>
        <v>378159949</v>
      </c>
      <c r="C1184" s="8">
        <f t="shared" si="14"/>
        <v>0.002671232877</v>
      </c>
      <c r="D1184" s="8">
        <v>4117.86</v>
      </c>
      <c r="E1184" s="8">
        <f t="shared" si="17"/>
        <v>-0.01108069164</v>
      </c>
      <c r="F1184" s="53">
        <v>5.01872474</v>
      </c>
      <c r="G1184" s="8">
        <f t="shared" si="16"/>
        <v>0.0001374993079</v>
      </c>
      <c r="H1184" s="8">
        <f t="shared" si="11"/>
        <v>4117.86</v>
      </c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</row>
    <row r="1185">
      <c r="A1185" s="54">
        <f t="shared" si="12"/>
        <v>44966</v>
      </c>
      <c r="B1185" s="8">
        <f t="shared" si="13"/>
        <v>379170102.3</v>
      </c>
      <c r="C1185" s="8">
        <f t="shared" si="14"/>
        <v>0.002671232877</v>
      </c>
      <c r="D1185" s="8">
        <v>4081.5</v>
      </c>
      <c r="E1185" s="8">
        <f t="shared" si="17"/>
        <v>-0.008829829086</v>
      </c>
      <c r="F1185" s="53">
        <v>5.114750339</v>
      </c>
      <c r="G1185" s="8">
        <f t="shared" si="16"/>
        <v>0.0001401301463</v>
      </c>
      <c r="H1185" s="8">
        <f t="shared" si="11"/>
        <v>4081.5</v>
      </c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</row>
    <row r="1186">
      <c r="A1186" s="54">
        <f t="shared" si="12"/>
        <v>44967</v>
      </c>
      <c r="B1186" s="8">
        <f t="shared" si="13"/>
        <v>380182953.9</v>
      </c>
      <c r="C1186" s="8">
        <f t="shared" si="14"/>
        <v>0.002671232877</v>
      </c>
      <c r="D1186" s="8">
        <v>4090.46</v>
      </c>
      <c r="E1186" s="8">
        <f t="shared" si="17"/>
        <v>0.002195271346</v>
      </c>
      <c r="F1186" s="53">
        <v>4.921213082</v>
      </c>
      <c r="G1186" s="8">
        <f t="shared" si="16"/>
        <v>0.0001348277557</v>
      </c>
      <c r="H1186" s="8">
        <f t="shared" si="11"/>
        <v>4090.46</v>
      </c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</row>
    <row r="1187">
      <c r="A1187" s="54">
        <f t="shared" si="12"/>
        <v>44968</v>
      </c>
      <c r="B1187" s="8">
        <f t="shared" si="13"/>
        <v>381198511.1</v>
      </c>
      <c r="C1187" s="8">
        <f t="shared" si="14"/>
        <v>0.002671232877</v>
      </c>
      <c r="D1187" s="8">
        <v>4090.46</v>
      </c>
      <c r="E1187" s="8">
        <f t="shared" si="17"/>
        <v>0</v>
      </c>
      <c r="F1187" s="53">
        <v>5.030475376</v>
      </c>
      <c r="G1187" s="8">
        <f t="shared" si="16"/>
        <v>0.0001378212432</v>
      </c>
      <c r="H1187" s="8">
        <f t="shared" si="11"/>
        <v>4090.46</v>
      </c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</row>
    <row r="1188">
      <c r="A1188" s="54">
        <f t="shared" si="12"/>
        <v>44969</v>
      </c>
      <c r="B1188" s="8">
        <f t="shared" si="13"/>
        <v>382216781.1</v>
      </c>
      <c r="C1188" s="8">
        <f t="shared" si="14"/>
        <v>0.002671232877</v>
      </c>
      <c r="D1188" s="8">
        <v>4090.46</v>
      </c>
      <c r="E1188" s="8">
        <f t="shared" si="17"/>
        <v>0</v>
      </c>
      <c r="F1188" s="53">
        <v>5.012332939</v>
      </c>
      <c r="G1188" s="8">
        <f t="shared" si="16"/>
        <v>0.0001373241901</v>
      </c>
      <c r="H1188" s="8">
        <f t="shared" si="11"/>
        <v>4090.46</v>
      </c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</row>
    <row r="1189">
      <c r="A1189" s="54">
        <f t="shared" si="12"/>
        <v>44970</v>
      </c>
      <c r="B1189" s="8">
        <f t="shared" si="13"/>
        <v>383237771.1</v>
      </c>
      <c r="C1189" s="8">
        <f t="shared" si="14"/>
        <v>0.002671232877</v>
      </c>
      <c r="D1189" s="8">
        <v>4137.29</v>
      </c>
      <c r="E1189" s="8">
        <f t="shared" si="17"/>
        <v>0.01144859013</v>
      </c>
      <c r="F1189" s="53">
        <v>4.961451499</v>
      </c>
      <c r="G1189" s="8">
        <f t="shared" si="16"/>
        <v>0.0001359301781</v>
      </c>
      <c r="H1189" s="8">
        <f t="shared" si="11"/>
        <v>4137.29</v>
      </c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</row>
    <row r="1190">
      <c r="A1190" s="54">
        <f t="shared" si="12"/>
        <v>44971</v>
      </c>
      <c r="B1190" s="8">
        <f t="shared" si="13"/>
        <v>384261488.5</v>
      </c>
      <c r="C1190" s="8">
        <f t="shared" si="14"/>
        <v>0.002671232877</v>
      </c>
      <c r="D1190" s="8">
        <v>4136.13</v>
      </c>
      <c r="E1190" s="8">
        <f t="shared" si="17"/>
        <v>-0.0002803767684</v>
      </c>
      <c r="F1190" s="53">
        <v>4.954573836</v>
      </c>
      <c r="G1190" s="8">
        <f t="shared" si="16"/>
        <v>0.0001357417489</v>
      </c>
      <c r="H1190" s="8">
        <f t="shared" si="11"/>
        <v>4136.13</v>
      </c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</row>
    <row r="1191">
      <c r="A1191" s="54">
        <f t="shared" si="12"/>
        <v>44972</v>
      </c>
      <c r="B1191" s="8">
        <f t="shared" si="13"/>
        <v>385287940.4</v>
      </c>
      <c r="C1191" s="8">
        <f t="shared" si="14"/>
        <v>0.002671232877</v>
      </c>
      <c r="D1191" s="8">
        <v>4147.6</v>
      </c>
      <c r="E1191" s="8">
        <f t="shared" si="17"/>
        <v>0.002773123669</v>
      </c>
      <c r="F1191" s="53">
        <v>5.038875168</v>
      </c>
      <c r="G1191" s="8">
        <f t="shared" si="16"/>
        <v>0.0001380513745</v>
      </c>
      <c r="H1191" s="8">
        <f t="shared" si="11"/>
        <v>4147.6</v>
      </c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</row>
    <row r="1192">
      <c r="A1192" s="54">
        <f t="shared" si="12"/>
        <v>44973</v>
      </c>
      <c r="B1192" s="8">
        <f t="shared" si="13"/>
        <v>386317134.2</v>
      </c>
      <c r="C1192" s="8">
        <f t="shared" si="14"/>
        <v>0.002671232877</v>
      </c>
      <c r="D1192" s="8">
        <v>4090.41</v>
      </c>
      <c r="E1192" s="8">
        <f t="shared" si="17"/>
        <v>-0.01378869708</v>
      </c>
      <c r="F1192" s="53">
        <v>5.079600115</v>
      </c>
      <c r="G1192" s="8">
        <f t="shared" si="16"/>
        <v>0.0001391671264</v>
      </c>
      <c r="H1192" s="8">
        <f t="shared" si="11"/>
        <v>4090.41</v>
      </c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</row>
    <row r="1193">
      <c r="A1193" s="54">
        <f t="shared" si="12"/>
        <v>44974</v>
      </c>
      <c r="B1193" s="8">
        <f t="shared" si="13"/>
        <v>387349077.2</v>
      </c>
      <c r="C1193" s="8">
        <f t="shared" si="14"/>
        <v>0.002671232877</v>
      </c>
      <c r="D1193" s="8">
        <v>4079.09</v>
      </c>
      <c r="E1193" s="8">
        <f t="shared" si="17"/>
        <v>-0.00276744874</v>
      </c>
      <c r="F1193" s="53">
        <v>5.092379979</v>
      </c>
      <c r="G1193" s="8">
        <f t="shared" si="16"/>
        <v>0.0001395172597</v>
      </c>
      <c r="H1193" s="8">
        <f t="shared" si="11"/>
        <v>4079.09</v>
      </c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</row>
    <row r="1194">
      <c r="A1194" s="54">
        <f t="shared" si="12"/>
        <v>44975</v>
      </c>
      <c r="B1194" s="8">
        <f t="shared" si="13"/>
        <v>388383776.8</v>
      </c>
      <c r="C1194" s="8">
        <f t="shared" si="14"/>
        <v>0.002671232877</v>
      </c>
      <c r="D1194" s="8">
        <v>4079.09</v>
      </c>
      <c r="E1194" s="8">
        <f t="shared" si="17"/>
        <v>0</v>
      </c>
      <c r="F1194" s="53">
        <v>4.970831755</v>
      </c>
      <c r="G1194" s="8">
        <f t="shared" si="16"/>
        <v>0.0001361871714</v>
      </c>
      <c r="H1194" s="8">
        <f t="shared" si="11"/>
        <v>4079.09</v>
      </c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</row>
    <row r="1195">
      <c r="A1195" s="54">
        <f t="shared" si="12"/>
        <v>44976</v>
      </c>
      <c r="B1195" s="8">
        <f t="shared" si="13"/>
        <v>389421240.3</v>
      </c>
      <c r="C1195" s="8">
        <f t="shared" si="14"/>
        <v>0.002671232877</v>
      </c>
      <c r="D1195" s="8">
        <v>4079.09</v>
      </c>
      <c r="E1195" s="8">
        <f t="shared" si="17"/>
        <v>0</v>
      </c>
      <c r="F1195" s="53">
        <v>4.980753052</v>
      </c>
      <c r="G1195" s="8">
        <f t="shared" si="16"/>
        <v>0.0001364589877</v>
      </c>
      <c r="H1195" s="8">
        <f t="shared" si="11"/>
        <v>4079.09</v>
      </c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</row>
    <row r="1196">
      <c r="A1196" s="54">
        <f t="shared" si="12"/>
        <v>44977</v>
      </c>
      <c r="B1196" s="8">
        <f t="shared" si="13"/>
        <v>390461475.2</v>
      </c>
      <c r="C1196" s="8">
        <f t="shared" si="14"/>
        <v>0.002671232877</v>
      </c>
      <c r="D1196" s="8">
        <v>4079.09</v>
      </c>
      <c r="E1196" s="8">
        <f t="shared" si="17"/>
        <v>0</v>
      </c>
      <c r="F1196" s="53">
        <v>4.991826653</v>
      </c>
      <c r="G1196" s="8">
        <f t="shared" si="16"/>
        <v>0.0001367623741</v>
      </c>
      <c r="H1196" s="8">
        <f t="shared" si="11"/>
        <v>4079.09</v>
      </c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</row>
    <row r="1197">
      <c r="A1197" s="54">
        <f t="shared" si="12"/>
        <v>44978</v>
      </c>
      <c r="B1197" s="8">
        <f t="shared" si="13"/>
        <v>391504488.7</v>
      </c>
      <c r="C1197" s="8">
        <f t="shared" si="14"/>
        <v>0.002671232877</v>
      </c>
      <c r="D1197" s="8">
        <v>3997.34</v>
      </c>
      <c r="E1197" s="8">
        <f t="shared" si="17"/>
        <v>-0.02004123469</v>
      </c>
      <c r="F1197" s="53">
        <v>5.046913615</v>
      </c>
      <c r="G1197" s="8">
        <f t="shared" si="16"/>
        <v>0.0001382716059</v>
      </c>
      <c r="H1197" s="8">
        <f t="shared" si="11"/>
        <v>3997.34</v>
      </c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</row>
    <row r="1198">
      <c r="A1198" s="54">
        <f t="shared" si="12"/>
        <v>44979</v>
      </c>
      <c r="B1198" s="8">
        <f t="shared" si="13"/>
        <v>392550288.4</v>
      </c>
      <c r="C1198" s="8">
        <f t="shared" si="14"/>
        <v>0.002671232877</v>
      </c>
      <c r="D1198" s="8">
        <v>3991.05</v>
      </c>
      <c r="E1198" s="8">
        <f t="shared" si="17"/>
        <v>-0.001573546408</v>
      </c>
      <c r="F1198" s="53">
        <v>4.929805633</v>
      </c>
      <c r="G1198" s="8">
        <f t="shared" si="16"/>
        <v>0.000135063168</v>
      </c>
      <c r="H1198" s="8">
        <f t="shared" si="11"/>
        <v>3991.05</v>
      </c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</row>
    <row r="1199">
      <c r="A1199" s="54">
        <f t="shared" si="12"/>
        <v>44980</v>
      </c>
      <c r="B1199" s="8">
        <f t="shared" si="13"/>
        <v>393598881.6</v>
      </c>
      <c r="C1199" s="8">
        <f t="shared" si="14"/>
        <v>0.002671232877</v>
      </c>
      <c r="D1199" s="8">
        <v>4012.32</v>
      </c>
      <c r="E1199" s="8">
        <f t="shared" si="17"/>
        <v>0.005329424588</v>
      </c>
      <c r="F1199" s="53">
        <v>5.047081102</v>
      </c>
      <c r="G1199" s="8">
        <f t="shared" si="16"/>
        <v>0.0001382761946</v>
      </c>
      <c r="H1199" s="8">
        <f t="shared" si="11"/>
        <v>4012.32</v>
      </c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</row>
    <row r="1200">
      <c r="A1200" s="54">
        <f t="shared" si="12"/>
        <v>44981</v>
      </c>
      <c r="B1200" s="8">
        <f t="shared" si="13"/>
        <v>394650275.9</v>
      </c>
      <c r="C1200" s="8">
        <f t="shared" si="14"/>
        <v>0.002671232877</v>
      </c>
      <c r="D1200" s="8">
        <v>3970.04</v>
      </c>
      <c r="E1200" s="8">
        <f t="shared" si="17"/>
        <v>-0.01053754436</v>
      </c>
      <c r="F1200" s="53">
        <v>4.996924229</v>
      </c>
      <c r="G1200" s="8">
        <f t="shared" si="16"/>
        <v>0.0001369020337</v>
      </c>
      <c r="H1200" s="8">
        <f t="shared" si="11"/>
        <v>3970.04</v>
      </c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</row>
    <row r="1201">
      <c r="A1201" s="54">
        <f t="shared" si="12"/>
        <v>44982</v>
      </c>
      <c r="B1201" s="8">
        <f t="shared" si="13"/>
        <v>395704478.7</v>
      </c>
      <c r="C1201" s="8">
        <f t="shared" si="14"/>
        <v>0.002671232877</v>
      </c>
      <c r="D1201" s="8">
        <v>3970.04</v>
      </c>
      <c r="E1201" s="8">
        <f t="shared" si="17"/>
        <v>0</v>
      </c>
      <c r="F1201" s="53">
        <v>4.93648098</v>
      </c>
      <c r="G1201" s="8">
        <f t="shared" si="16"/>
        <v>0.0001352460542</v>
      </c>
      <c r="H1201" s="8">
        <f t="shared" si="11"/>
        <v>3970.04</v>
      </c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</row>
    <row r="1202">
      <c r="A1202" s="54">
        <f t="shared" si="12"/>
        <v>44983</v>
      </c>
      <c r="B1202" s="8">
        <f t="shared" si="13"/>
        <v>396761497.5</v>
      </c>
      <c r="C1202" s="8">
        <f t="shared" si="14"/>
        <v>0.002671232877</v>
      </c>
      <c r="D1202" s="8">
        <v>3970.04</v>
      </c>
      <c r="E1202" s="8">
        <f t="shared" si="17"/>
        <v>0</v>
      </c>
      <c r="F1202" s="53">
        <v>4.998903796</v>
      </c>
      <c r="G1202" s="8">
        <f t="shared" si="16"/>
        <v>0.0001369562684</v>
      </c>
      <c r="H1202" s="8">
        <f t="shared" si="11"/>
        <v>3970.04</v>
      </c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</row>
    <row r="1203">
      <c r="A1203" s="54">
        <f t="shared" si="12"/>
        <v>44984</v>
      </c>
      <c r="B1203" s="8">
        <f t="shared" si="13"/>
        <v>397821339.8</v>
      </c>
      <c r="C1203" s="8">
        <f t="shared" si="14"/>
        <v>0.002671232877</v>
      </c>
      <c r="D1203" s="8">
        <v>3982.24</v>
      </c>
      <c r="E1203" s="8">
        <f t="shared" si="17"/>
        <v>0.003073016897</v>
      </c>
      <c r="F1203" s="53">
        <v>5.083401059</v>
      </c>
      <c r="G1203" s="8">
        <f t="shared" si="16"/>
        <v>0.0001392712619</v>
      </c>
      <c r="H1203" s="8">
        <f t="shared" si="11"/>
        <v>3982.24</v>
      </c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</row>
    <row r="1204">
      <c r="A1204" s="54">
        <f t="shared" si="12"/>
        <v>44985</v>
      </c>
      <c r="B1204" s="8">
        <f t="shared" si="13"/>
        <v>398884013.3</v>
      </c>
      <c r="C1204" s="8">
        <f t="shared" si="14"/>
        <v>0.002671232877</v>
      </c>
      <c r="D1204" s="8">
        <v>3970.15</v>
      </c>
      <c r="E1204" s="8">
        <f t="shared" si="17"/>
        <v>-0.00303597975</v>
      </c>
      <c r="F1204" s="53">
        <v>5.060112288</v>
      </c>
      <c r="G1204" s="8">
        <f t="shared" si="16"/>
        <v>0.0001386332134</v>
      </c>
      <c r="H1204" s="8">
        <f t="shared" si="11"/>
        <v>3970.15</v>
      </c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</row>
    <row r="1205">
      <c r="A1205" s="54">
        <f t="shared" si="12"/>
        <v>44986</v>
      </c>
      <c r="B1205" s="8">
        <f t="shared" si="13"/>
        <v>399949525.4</v>
      </c>
      <c r="C1205" s="8">
        <f t="shared" si="14"/>
        <v>0.002671232877</v>
      </c>
      <c r="D1205" s="8">
        <v>3951.39</v>
      </c>
      <c r="E1205" s="8">
        <f t="shared" si="17"/>
        <v>-0.00472526227</v>
      </c>
      <c r="F1205" s="53">
        <v>5.093857097</v>
      </c>
      <c r="G1205" s="8">
        <f t="shared" si="16"/>
        <v>0.0001395577287</v>
      </c>
      <c r="H1205" s="8">
        <f t="shared" si="11"/>
        <v>3951.39</v>
      </c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</row>
    <row r="1206">
      <c r="A1206" s="54">
        <f t="shared" si="12"/>
        <v>44987</v>
      </c>
      <c r="B1206" s="8">
        <f t="shared" si="13"/>
        <v>401017883.7</v>
      </c>
      <c r="C1206" s="8">
        <f t="shared" si="14"/>
        <v>0.002671232877</v>
      </c>
      <c r="D1206" s="8">
        <v>3981.35</v>
      </c>
      <c r="E1206" s="8">
        <f t="shared" si="17"/>
        <v>0.00758214198</v>
      </c>
      <c r="F1206" s="53">
        <v>4.918502168</v>
      </c>
      <c r="G1206" s="8">
        <f t="shared" si="16"/>
        <v>0.0001347534841</v>
      </c>
      <c r="H1206" s="8">
        <f t="shared" si="11"/>
        <v>3981.35</v>
      </c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</row>
    <row r="1207">
      <c r="A1207" s="54">
        <f t="shared" si="12"/>
        <v>44988</v>
      </c>
      <c r="B1207" s="8">
        <f t="shared" si="13"/>
        <v>402089095.8</v>
      </c>
      <c r="C1207" s="8">
        <f t="shared" si="14"/>
        <v>0.002671232877</v>
      </c>
      <c r="D1207" s="8">
        <v>4045.64</v>
      </c>
      <c r="E1207" s="8">
        <f t="shared" si="17"/>
        <v>0.01614778907</v>
      </c>
      <c r="F1207" s="53">
        <v>5.115890276</v>
      </c>
      <c r="G1207" s="8">
        <f t="shared" si="16"/>
        <v>0.0001401613774</v>
      </c>
      <c r="H1207" s="8">
        <f t="shared" si="11"/>
        <v>4045.64</v>
      </c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</row>
    <row r="1208">
      <c r="A1208" s="54">
        <f t="shared" si="12"/>
        <v>44989</v>
      </c>
      <c r="B1208" s="8">
        <f t="shared" si="13"/>
        <v>403163169.4</v>
      </c>
      <c r="C1208" s="8">
        <f t="shared" si="14"/>
        <v>0.002671232877</v>
      </c>
      <c r="D1208" s="8">
        <v>4045.64</v>
      </c>
      <c r="E1208" s="8">
        <f t="shared" si="17"/>
        <v>0</v>
      </c>
      <c r="F1208" s="53">
        <v>4.959969913</v>
      </c>
      <c r="G1208" s="8">
        <f t="shared" si="16"/>
        <v>0.0001358895867</v>
      </c>
      <c r="H1208" s="8">
        <f t="shared" si="11"/>
        <v>4045.64</v>
      </c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</row>
    <row r="1209">
      <c r="A1209" s="54">
        <f t="shared" si="12"/>
        <v>44990</v>
      </c>
      <c r="B1209" s="8">
        <f t="shared" si="13"/>
        <v>404240112.2</v>
      </c>
      <c r="C1209" s="8">
        <f t="shared" si="14"/>
        <v>0.002671232877</v>
      </c>
      <c r="D1209" s="8">
        <v>4045.64</v>
      </c>
      <c r="E1209" s="8">
        <f t="shared" si="17"/>
        <v>0</v>
      </c>
      <c r="F1209" s="53">
        <v>4.906596707</v>
      </c>
      <c r="G1209" s="8">
        <f t="shared" si="16"/>
        <v>0.000134427307</v>
      </c>
      <c r="H1209" s="8">
        <f t="shared" si="11"/>
        <v>4045.64</v>
      </c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</row>
    <row r="1210">
      <c r="A1210" s="54">
        <f t="shared" si="12"/>
        <v>44991</v>
      </c>
      <c r="B1210" s="8">
        <f t="shared" si="13"/>
        <v>405319931.6</v>
      </c>
      <c r="C1210" s="8">
        <f t="shared" si="14"/>
        <v>0.002671232877</v>
      </c>
      <c r="D1210" s="8">
        <v>4048.42</v>
      </c>
      <c r="E1210" s="8">
        <f t="shared" si="17"/>
        <v>0.00068715951</v>
      </c>
      <c r="F1210" s="53">
        <v>4.990327546</v>
      </c>
      <c r="G1210" s="8">
        <f t="shared" si="16"/>
        <v>0.0001367213026</v>
      </c>
      <c r="H1210" s="8">
        <f t="shared" si="11"/>
        <v>4048.42</v>
      </c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</row>
    <row r="1211">
      <c r="A1211" s="54">
        <f t="shared" si="12"/>
        <v>44992</v>
      </c>
      <c r="B1211" s="8">
        <f t="shared" si="13"/>
        <v>406402635.6</v>
      </c>
      <c r="C1211" s="8">
        <f t="shared" si="14"/>
        <v>0.002671232877</v>
      </c>
      <c r="D1211" s="8">
        <v>3986.37</v>
      </c>
      <c r="E1211" s="8">
        <f t="shared" si="17"/>
        <v>-0.01532696706</v>
      </c>
      <c r="F1211" s="53">
        <v>5.057480811</v>
      </c>
      <c r="G1211" s="8">
        <f t="shared" si="16"/>
        <v>0.0001385611181</v>
      </c>
      <c r="H1211" s="8">
        <f t="shared" si="11"/>
        <v>3986.37</v>
      </c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</row>
    <row r="1212">
      <c r="A1212" s="54">
        <f t="shared" si="12"/>
        <v>44993</v>
      </c>
      <c r="B1212" s="8">
        <f t="shared" si="13"/>
        <v>407488231.6</v>
      </c>
      <c r="C1212" s="8">
        <f t="shared" si="14"/>
        <v>0.002671232877</v>
      </c>
      <c r="D1212" s="8">
        <v>3992.01</v>
      </c>
      <c r="E1212" s="8">
        <f t="shared" si="17"/>
        <v>0.001414821003</v>
      </c>
      <c r="F1212" s="53">
        <v>4.958788351</v>
      </c>
      <c r="G1212" s="8">
        <f t="shared" si="16"/>
        <v>0.0001358572151</v>
      </c>
      <c r="H1212" s="8">
        <f t="shared" si="11"/>
        <v>3992.01</v>
      </c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</row>
    <row r="1213">
      <c r="A1213" s="54">
        <f t="shared" si="12"/>
        <v>44994</v>
      </c>
      <c r="B1213" s="8">
        <f t="shared" si="13"/>
        <v>408576727.6</v>
      </c>
      <c r="C1213" s="8">
        <f t="shared" si="14"/>
        <v>0.002671232877</v>
      </c>
      <c r="D1213" s="8">
        <v>3918.32</v>
      </c>
      <c r="E1213" s="8">
        <f t="shared" si="17"/>
        <v>-0.0184593726</v>
      </c>
      <c r="F1213" s="53">
        <v>5.003134123</v>
      </c>
      <c r="G1213" s="8">
        <f t="shared" si="16"/>
        <v>0.0001370721678</v>
      </c>
      <c r="H1213" s="8">
        <f t="shared" si="11"/>
        <v>3918.32</v>
      </c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</row>
    <row r="1214">
      <c r="A1214" s="54">
        <f t="shared" si="12"/>
        <v>44995</v>
      </c>
      <c r="B1214" s="8">
        <f t="shared" si="13"/>
        <v>409668131.2</v>
      </c>
      <c r="C1214" s="8">
        <f t="shared" si="14"/>
        <v>0.002671232877</v>
      </c>
      <c r="D1214" s="8">
        <v>3861.59</v>
      </c>
      <c r="E1214" s="8">
        <f t="shared" si="17"/>
        <v>-0.01447814369</v>
      </c>
      <c r="F1214" s="53">
        <v>4.959021686</v>
      </c>
      <c r="G1214" s="8">
        <f t="shared" si="16"/>
        <v>0.0001358636078</v>
      </c>
      <c r="H1214" s="8">
        <f t="shared" si="11"/>
        <v>3861.59</v>
      </c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</row>
    <row r="1215">
      <c r="A1215" s="54">
        <f t="shared" si="12"/>
        <v>44996</v>
      </c>
      <c r="B1215" s="8">
        <f t="shared" si="13"/>
        <v>410762450.2</v>
      </c>
      <c r="C1215" s="8">
        <f t="shared" si="14"/>
        <v>0.002671232877</v>
      </c>
      <c r="D1215" s="8">
        <v>3861.59</v>
      </c>
      <c r="E1215" s="8">
        <f t="shared" si="17"/>
        <v>0</v>
      </c>
      <c r="F1215" s="53">
        <v>5.044806624</v>
      </c>
      <c r="G1215" s="8">
        <f t="shared" si="16"/>
        <v>0.0001382138801</v>
      </c>
      <c r="H1215" s="8">
        <f t="shared" si="11"/>
        <v>3861.59</v>
      </c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</row>
    <row r="1216">
      <c r="A1216" s="54">
        <f t="shared" si="12"/>
        <v>44997</v>
      </c>
      <c r="B1216" s="8">
        <f t="shared" si="13"/>
        <v>411859692.3</v>
      </c>
      <c r="C1216" s="8">
        <f t="shared" si="14"/>
        <v>0.002671232877</v>
      </c>
      <c r="D1216" s="8">
        <v>3861.59</v>
      </c>
      <c r="E1216" s="8">
        <f t="shared" si="17"/>
        <v>0</v>
      </c>
      <c r="F1216" s="53">
        <v>4.975719809</v>
      </c>
      <c r="G1216" s="8">
        <f t="shared" si="16"/>
        <v>0.0001363210907</v>
      </c>
      <c r="H1216" s="8">
        <f t="shared" si="11"/>
        <v>3861.59</v>
      </c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</row>
    <row r="1217">
      <c r="A1217" s="54">
        <f t="shared" si="12"/>
        <v>44998</v>
      </c>
      <c r="B1217" s="8">
        <f t="shared" si="13"/>
        <v>412959865.5</v>
      </c>
      <c r="C1217" s="8">
        <f t="shared" si="14"/>
        <v>0.002671232877</v>
      </c>
      <c r="D1217" s="8">
        <v>3855.76</v>
      </c>
      <c r="E1217" s="8">
        <f t="shared" si="17"/>
        <v>-0.001509740806</v>
      </c>
      <c r="F1217" s="53">
        <v>5.037283707</v>
      </c>
      <c r="G1217" s="8">
        <f t="shared" si="16"/>
        <v>0.0001380077728</v>
      </c>
      <c r="H1217" s="8">
        <f t="shared" si="11"/>
        <v>3855.76</v>
      </c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</row>
    <row r="1218">
      <c r="A1218" s="54">
        <f t="shared" si="12"/>
        <v>44999</v>
      </c>
      <c r="B1218" s="8">
        <f t="shared" si="13"/>
        <v>414062977.5</v>
      </c>
      <c r="C1218" s="8">
        <f t="shared" si="14"/>
        <v>0.002671232877</v>
      </c>
      <c r="D1218" s="8">
        <v>3919.29</v>
      </c>
      <c r="E1218" s="8">
        <f t="shared" si="17"/>
        <v>0.01647664792</v>
      </c>
      <c r="F1218" s="53">
        <v>5.008359511</v>
      </c>
      <c r="G1218" s="8">
        <f t="shared" si="16"/>
        <v>0.0001372153291</v>
      </c>
      <c r="H1218" s="8">
        <f t="shared" si="11"/>
        <v>3919.29</v>
      </c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</row>
    <row r="1219">
      <c r="A1219" s="54">
        <f t="shared" si="12"/>
        <v>45000</v>
      </c>
      <c r="B1219" s="8">
        <f t="shared" si="13"/>
        <v>415169036.1</v>
      </c>
      <c r="C1219" s="8">
        <f t="shared" si="14"/>
        <v>0.002671232877</v>
      </c>
      <c r="D1219" s="8">
        <v>3891.93</v>
      </c>
      <c r="E1219" s="8">
        <f t="shared" si="17"/>
        <v>-0.006980856227</v>
      </c>
      <c r="F1219" s="53">
        <v>5.019570818</v>
      </c>
      <c r="G1219" s="8">
        <f t="shared" si="16"/>
        <v>0.0001375224882</v>
      </c>
      <c r="H1219" s="8">
        <f t="shared" si="11"/>
        <v>3891.93</v>
      </c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</row>
    <row r="1220">
      <c r="A1220" s="54">
        <f t="shared" si="12"/>
        <v>45001</v>
      </c>
      <c r="B1220" s="8">
        <f t="shared" si="13"/>
        <v>416278049.3</v>
      </c>
      <c r="C1220" s="8">
        <f t="shared" si="14"/>
        <v>0.002671232877</v>
      </c>
      <c r="D1220" s="8">
        <v>3960.28</v>
      </c>
      <c r="E1220" s="8">
        <f t="shared" si="17"/>
        <v>0.01756198082</v>
      </c>
      <c r="F1220" s="53">
        <v>5.010257644</v>
      </c>
      <c r="G1220" s="8">
        <f t="shared" si="16"/>
        <v>0.0001372673327</v>
      </c>
      <c r="H1220" s="8">
        <f t="shared" si="11"/>
        <v>3960.28</v>
      </c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</row>
    <row r="1221">
      <c r="A1221" s="54">
        <f t="shared" si="12"/>
        <v>45002</v>
      </c>
      <c r="B1221" s="8">
        <f t="shared" si="13"/>
        <v>417390024.9</v>
      </c>
      <c r="C1221" s="8">
        <f t="shared" si="14"/>
        <v>0.002671232877</v>
      </c>
      <c r="D1221" s="8">
        <v>3916.64</v>
      </c>
      <c r="E1221" s="8">
        <f t="shared" si="17"/>
        <v>-0.01101942287</v>
      </c>
      <c r="F1221" s="53">
        <v>4.966011519</v>
      </c>
      <c r="G1221" s="8">
        <f t="shared" si="16"/>
        <v>0.0001360551101</v>
      </c>
      <c r="H1221" s="8">
        <f t="shared" si="11"/>
        <v>3916.64</v>
      </c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</row>
    <row r="1222">
      <c r="A1222" s="54">
        <f t="shared" si="12"/>
        <v>45003</v>
      </c>
      <c r="B1222" s="8">
        <f t="shared" si="13"/>
        <v>418504970.8</v>
      </c>
      <c r="C1222" s="8">
        <f t="shared" si="14"/>
        <v>0.002671232877</v>
      </c>
      <c r="D1222" s="8">
        <v>3916.64</v>
      </c>
      <c r="E1222" s="8">
        <f t="shared" si="17"/>
        <v>0</v>
      </c>
      <c r="F1222" s="53">
        <v>5.004225162</v>
      </c>
      <c r="G1222" s="8">
        <f t="shared" si="16"/>
        <v>0.0001371020592</v>
      </c>
      <c r="H1222" s="8">
        <f t="shared" si="11"/>
        <v>3916.64</v>
      </c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</row>
    <row r="1223">
      <c r="A1223" s="54">
        <f t="shared" si="12"/>
        <v>45004</v>
      </c>
      <c r="B1223" s="8">
        <f t="shared" si="13"/>
        <v>419622895.1</v>
      </c>
      <c r="C1223" s="8">
        <f t="shared" si="14"/>
        <v>0.002671232877</v>
      </c>
      <c r="D1223" s="8">
        <v>3916.64</v>
      </c>
      <c r="E1223" s="8">
        <f t="shared" si="17"/>
        <v>0</v>
      </c>
      <c r="F1223" s="53">
        <v>5.000990231</v>
      </c>
      <c r="G1223" s="8">
        <f t="shared" si="16"/>
        <v>0.000137013431</v>
      </c>
      <c r="H1223" s="8">
        <f t="shared" si="11"/>
        <v>3916.64</v>
      </c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</row>
    <row r="1224">
      <c r="A1224" s="54">
        <f t="shared" si="12"/>
        <v>45005</v>
      </c>
      <c r="B1224" s="8">
        <f t="shared" si="13"/>
        <v>420743805.6</v>
      </c>
      <c r="C1224" s="8">
        <f t="shared" si="14"/>
        <v>0.002671232877</v>
      </c>
      <c r="D1224" s="8">
        <v>3951.57</v>
      </c>
      <c r="E1224" s="8">
        <f t="shared" si="17"/>
        <v>0.008918358593</v>
      </c>
      <c r="F1224" s="53">
        <v>4.957710536</v>
      </c>
      <c r="G1224" s="8">
        <f t="shared" si="16"/>
        <v>0.0001358276859</v>
      </c>
      <c r="H1224" s="8">
        <f t="shared" si="11"/>
        <v>3951.57</v>
      </c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</row>
    <row r="1225">
      <c r="A1225" s="54">
        <f t="shared" si="12"/>
        <v>45006</v>
      </c>
      <c r="B1225" s="8">
        <f t="shared" si="13"/>
        <v>421867710.2</v>
      </c>
      <c r="C1225" s="8">
        <f t="shared" si="14"/>
        <v>0.002671232877</v>
      </c>
      <c r="D1225" s="8">
        <v>4002.87</v>
      </c>
      <c r="E1225" s="8">
        <f t="shared" si="17"/>
        <v>0.01298218177</v>
      </c>
      <c r="F1225" s="53">
        <v>4.948331011</v>
      </c>
      <c r="G1225" s="8">
        <f t="shared" si="16"/>
        <v>0.0001355707126</v>
      </c>
      <c r="H1225" s="8">
        <f t="shared" si="11"/>
        <v>4002.87</v>
      </c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</row>
    <row r="1226">
      <c r="A1226" s="54">
        <f t="shared" si="12"/>
        <v>45007</v>
      </c>
      <c r="B1226" s="8">
        <f t="shared" si="13"/>
        <v>422994617.1</v>
      </c>
      <c r="C1226" s="8">
        <f t="shared" si="14"/>
        <v>0.002671232877</v>
      </c>
      <c r="D1226" s="8">
        <v>3936.97</v>
      </c>
      <c r="E1226" s="8">
        <f t="shared" si="17"/>
        <v>-0.01646318766</v>
      </c>
      <c r="F1226" s="53">
        <v>4.956194569</v>
      </c>
      <c r="G1226" s="8">
        <f t="shared" si="16"/>
        <v>0.0001357861526</v>
      </c>
      <c r="H1226" s="8">
        <f t="shared" si="11"/>
        <v>3936.97</v>
      </c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</row>
    <row r="1227">
      <c r="A1227" s="54">
        <f t="shared" si="12"/>
        <v>45008</v>
      </c>
      <c r="B1227" s="8">
        <f t="shared" si="13"/>
        <v>424124534.3</v>
      </c>
      <c r="C1227" s="8">
        <f t="shared" si="14"/>
        <v>0.002671232877</v>
      </c>
      <c r="D1227" s="8">
        <v>3948.72</v>
      </c>
      <c r="E1227" s="8">
        <f t="shared" si="17"/>
        <v>0.002984528711</v>
      </c>
      <c r="F1227" s="53">
        <v>4.994246399</v>
      </c>
      <c r="G1227" s="8">
        <f t="shared" si="16"/>
        <v>0.0001368286685</v>
      </c>
      <c r="H1227" s="8">
        <f t="shared" si="11"/>
        <v>3948.72</v>
      </c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</row>
    <row r="1228">
      <c r="A1228" s="54">
        <f t="shared" si="12"/>
        <v>45009</v>
      </c>
      <c r="B1228" s="8">
        <f t="shared" si="13"/>
        <v>425257469.7</v>
      </c>
      <c r="C1228" s="8">
        <f t="shared" si="14"/>
        <v>0.002671232877</v>
      </c>
      <c r="D1228" s="8">
        <v>3970.99</v>
      </c>
      <c r="E1228" s="8">
        <f t="shared" si="17"/>
        <v>0.005639802265</v>
      </c>
      <c r="F1228" s="53">
        <v>5.017082976</v>
      </c>
      <c r="G1228" s="8">
        <f t="shared" si="16"/>
        <v>0.0001374543281</v>
      </c>
      <c r="H1228" s="8">
        <f t="shared" si="11"/>
        <v>3970.99</v>
      </c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</row>
    <row r="1229">
      <c r="A1229" s="54">
        <f t="shared" si="12"/>
        <v>45010</v>
      </c>
      <c r="B1229" s="8">
        <f t="shared" si="13"/>
        <v>426393431.4</v>
      </c>
      <c r="C1229" s="8">
        <f t="shared" si="14"/>
        <v>0.002671232877</v>
      </c>
      <c r="D1229" s="8">
        <v>3970.99</v>
      </c>
      <c r="E1229" s="8">
        <f t="shared" si="17"/>
        <v>0</v>
      </c>
      <c r="F1229" s="53">
        <v>5.078720257</v>
      </c>
      <c r="G1229" s="8">
        <f t="shared" si="16"/>
        <v>0.0001391430207</v>
      </c>
      <c r="H1229" s="8">
        <f t="shared" si="11"/>
        <v>3970.99</v>
      </c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</row>
    <row r="1230">
      <c r="A1230" s="54">
        <f t="shared" si="12"/>
        <v>45011</v>
      </c>
      <c r="B1230" s="8">
        <f t="shared" si="13"/>
        <v>427532427.6</v>
      </c>
      <c r="C1230" s="8">
        <f t="shared" si="14"/>
        <v>0.002671232877</v>
      </c>
      <c r="D1230" s="8">
        <v>3970.99</v>
      </c>
      <c r="E1230" s="8">
        <f t="shared" si="17"/>
        <v>0</v>
      </c>
      <c r="F1230" s="53">
        <v>4.944773021</v>
      </c>
      <c r="G1230" s="8">
        <f t="shared" si="16"/>
        <v>0.0001354732335</v>
      </c>
      <c r="H1230" s="8">
        <f t="shared" si="11"/>
        <v>3970.99</v>
      </c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</row>
    <row r="1231">
      <c r="A1231" s="54">
        <f t="shared" si="12"/>
        <v>45012</v>
      </c>
      <c r="B1231" s="8">
        <f t="shared" si="13"/>
        <v>428674466.2</v>
      </c>
      <c r="C1231" s="8">
        <f t="shared" si="14"/>
        <v>0.002671232877</v>
      </c>
      <c r="D1231" s="8">
        <v>3977.53</v>
      </c>
      <c r="E1231" s="8">
        <f t="shared" si="17"/>
        <v>0.001646944465</v>
      </c>
      <c r="F1231" s="53">
        <v>4.973627026</v>
      </c>
      <c r="G1231" s="8">
        <f t="shared" si="16"/>
        <v>0.0001362637541</v>
      </c>
      <c r="H1231" s="8">
        <f t="shared" si="11"/>
        <v>3977.53</v>
      </c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</row>
    <row r="1232">
      <c r="A1232" s="54">
        <f t="shared" si="12"/>
        <v>45013</v>
      </c>
      <c r="B1232" s="8">
        <f t="shared" si="13"/>
        <v>429819555.6</v>
      </c>
      <c r="C1232" s="8">
        <f t="shared" si="14"/>
        <v>0.002671232877</v>
      </c>
      <c r="D1232" s="8">
        <v>3971.27</v>
      </c>
      <c r="E1232" s="8">
        <f t="shared" si="17"/>
        <v>-0.001573841052</v>
      </c>
      <c r="F1232" s="53">
        <v>5.060411074</v>
      </c>
      <c r="G1232" s="8">
        <f t="shared" si="16"/>
        <v>0.0001386413993</v>
      </c>
      <c r="H1232" s="8">
        <f t="shared" si="11"/>
        <v>3971.27</v>
      </c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</row>
    <row r="1233">
      <c r="A1233" s="54">
        <f t="shared" si="12"/>
        <v>45014</v>
      </c>
      <c r="B1233" s="8">
        <f t="shared" si="13"/>
        <v>430967703.7</v>
      </c>
      <c r="C1233" s="8">
        <f t="shared" si="14"/>
        <v>0.002671232877</v>
      </c>
      <c r="D1233" s="8">
        <v>4027.81</v>
      </c>
      <c r="E1233" s="8">
        <f t="shared" si="17"/>
        <v>0.01423725911</v>
      </c>
      <c r="F1233" s="53">
        <v>5.017474974</v>
      </c>
      <c r="G1233" s="8">
        <f t="shared" si="16"/>
        <v>0.0001374650678</v>
      </c>
      <c r="H1233" s="8">
        <f t="shared" si="11"/>
        <v>4027.81</v>
      </c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</row>
    <row r="1234">
      <c r="A1234" s="54">
        <f t="shared" si="12"/>
        <v>45015</v>
      </c>
      <c r="B1234" s="8">
        <f t="shared" si="13"/>
        <v>432118918.8</v>
      </c>
      <c r="C1234" s="8">
        <f t="shared" si="14"/>
        <v>0.002671232877</v>
      </c>
      <c r="D1234" s="8">
        <v>4050.83</v>
      </c>
      <c r="E1234" s="8">
        <f t="shared" si="17"/>
        <v>0.005715264623</v>
      </c>
      <c r="F1234" s="53">
        <v>4.981166876</v>
      </c>
      <c r="G1234" s="8">
        <f t="shared" si="16"/>
        <v>0.0001364703254</v>
      </c>
      <c r="H1234" s="8">
        <f t="shared" si="11"/>
        <v>4050.83</v>
      </c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</row>
    <row r="1235">
      <c r="A1235" s="54">
        <f t="shared" si="12"/>
        <v>45016</v>
      </c>
      <c r="B1235" s="8">
        <f t="shared" si="13"/>
        <v>433273209</v>
      </c>
      <c r="C1235" s="8">
        <f t="shared" si="14"/>
        <v>0.002671232877</v>
      </c>
      <c r="D1235" s="8">
        <v>4109.31</v>
      </c>
      <c r="E1235" s="8">
        <f t="shared" si="17"/>
        <v>0.01443654757</v>
      </c>
      <c r="F1235" s="53">
        <v>4.880196964</v>
      </c>
      <c r="G1235" s="8">
        <f t="shared" si="16"/>
        <v>0.0001337040264</v>
      </c>
      <c r="H1235" s="8">
        <f t="shared" si="11"/>
        <v>4109.31</v>
      </c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</row>
    <row r="1236">
      <c r="A1236" s="54">
        <f t="shared" si="12"/>
        <v>45017</v>
      </c>
      <c r="B1236" s="8">
        <f t="shared" si="13"/>
        <v>434430582.7</v>
      </c>
      <c r="C1236" s="8">
        <f t="shared" si="14"/>
        <v>0.002671232877</v>
      </c>
      <c r="D1236" s="8">
        <v>4109.31</v>
      </c>
      <c r="E1236" s="8">
        <f t="shared" si="17"/>
        <v>0</v>
      </c>
      <c r="F1236" s="53">
        <v>5.017947566</v>
      </c>
      <c r="G1236" s="8">
        <f t="shared" si="16"/>
        <v>0.0001374780155</v>
      </c>
      <c r="H1236" s="8">
        <f t="shared" si="11"/>
        <v>4109.31</v>
      </c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</row>
    <row r="1237">
      <c r="A1237" s="54">
        <f t="shared" si="12"/>
        <v>45018</v>
      </c>
      <c r="B1237" s="8">
        <f t="shared" si="13"/>
        <v>435591047.9</v>
      </c>
      <c r="C1237" s="8">
        <f t="shared" si="14"/>
        <v>0.002671232877</v>
      </c>
      <c r="D1237" s="8">
        <v>4109.31</v>
      </c>
      <c r="E1237" s="8">
        <f t="shared" si="17"/>
        <v>0</v>
      </c>
      <c r="F1237" s="53">
        <v>4.968709351</v>
      </c>
      <c r="G1237" s="8">
        <f t="shared" si="16"/>
        <v>0.0001361290233</v>
      </c>
      <c r="H1237" s="8">
        <f t="shared" si="11"/>
        <v>4109.31</v>
      </c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</row>
    <row r="1238">
      <c r="A1238" s="54">
        <f t="shared" si="12"/>
        <v>45019</v>
      </c>
      <c r="B1238" s="8">
        <f t="shared" si="13"/>
        <v>436754613.1</v>
      </c>
      <c r="C1238" s="8">
        <f t="shared" si="14"/>
        <v>0.002671232877</v>
      </c>
      <c r="D1238" s="8">
        <v>4124.51</v>
      </c>
      <c r="E1238" s="8">
        <f t="shared" si="17"/>
        <v>0.003698917823</v>
      </c>
      <c r="F1238" s="53">
        <v>5.022718842</v>
      </c>
      <c r="G1238" s="8">
        <f t="shared" si="16"/>
        <v>0.0001376087354</v>
      </c>
      <c r="H1238" s="8">
        <f t="shared" si="11"/>
        <v>4124.51</v>
      </c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</row>
    <row r="1239">
      <c r="A1239" s="54">
        <f t="shared" si="12"/>
        <v>45020</v>
      </c>
      <c r="B1239" s="8">
        <f t="shared" si="13"/>
        <v>437921286.4</v>
      </c>
      <c r="C1239" s="8">
        <f t="shared" si="14"/>
        <v>0.002671232877</v>
      </c>
      <c r="D1239" s="8">
        <v>4100.6</v>
      </c>
      <c r="E1239" s="8">
        <f t="shared" si="17"/>
        <v>-0.005797052256</v>
      </c>
      <c r="F1239" s="53">
        <v>5.00275619</v>
      </c>
      <c r="G1239" s="8">
        <f t="shared" si="16"/>
        <v>0.0001370618134</v>
      </c>
      <c r="H1239" s="8">
        <f t="shared" si="11"/>
        <v>4100.6</v>
      </c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</row>
    <row r="1240">
      <c r="A1240" s="54">
        <f t="shared" si="12"/>
        <v>45021</v>
      </c>
      <c r="B1240" s="8">
        <f t="shared" si="13"/>
        <v>439091076.1</v>
      </c>
      <c r="C1240" s="8">
        <f t="shared" si="14"/>
        <v>0.002671232877</v>
      </c>
      <c r="D1240" s="8">
        <v>4090.38</v>
      </c>
      <c r="E1240" s="8">
        <f t="shared" si="17"/>
        <v>-0.002492318197</v>
      </c>
      <c r="F1240" s="53">
        <v>5.022490341</v>
      </c>
      <c r="G1240" s="8">
        <f t="shared" si="16"/>
        <v>0.0001376024751</v>
      </c>
      <c r="H1240" s="8">
        <f t="shared" si="11"/>
        <v>4090.38</v>
      </c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</row>
    <row r="1241">
      <c r="A1241" s="54">
        <f t="shared" si="12"/>
        <v>45022</v>
      </c>
      <c r="B1241" s="8">
        <f t="shared" si="13"/>
        <v>440263990.6</v>
      </c>
      <c r="C1241" s="8">
        <f t="shared" si="14"/>
        <v>0.002671232877</v>
      </c>
      <c r="D1241" s="8">
        <v>4105.02</v>
      </c>
      <c r="E1241" s="8">
        <f t="shared" si="17"/>
        <v>0.003579129567</v>
      </c>
      <c r="F1241" s="53">
        <v>4.937269494</v>
      </c>
      <c r="G1241" s="8">
        <f t="shared" si="16"/>
        <v>0.0001352676574</v>
      </c>
      <c r="H1241" s="8">
        <f t="shared" si="11"/>
        <v>4105.02</v>
      </c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</row>
    <row r="1242">
      <c r="A1242" s="54">
        <f t="shared" si="12"/>
        <v>45023</v>
      </c>
      <c r="B1242" s="8">
        <f t="shared" si="13"/>
        <v>441440038.3</v>
      </c>
      <c r="C1242" s="8">
        <f t="shared" si="14"/>
        <v>0.002671232877</v>
      </c>
      <c r="D1242" s="8">
        <v>4105.02</v>
      </c>
      <c r="E1242" s="8">
        <f t="shared" si="17"/>
        <v>0</v>
      </c>
      <c r="F1242" s="53">
        <v>5.068259073</v>
      </c>
      <c r="G1242" s="8">
        <f t="shared" si="16"/>
        <v>0.000138856413</v>
      </c>
      <c r="H1242" s="8">
        <f t="shared" si="11"/>
        <v>4105.02</v>
      </c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</row>
    <row r="1243">
      <c r="A1243" s="54">
        <f t="shared" si="12"/>
        <v>45024</v>
      </c>
      <c r="B1243" s="8">
        <f t="shared" si="13"/>
        <v>442619227.4</v>
      </c>
      <c r="C1243" s="8">
        <f t="shared" si="14"/>
        <v>0.002671232877</v>
      </c>
      <c r="D1243" s="8">
        <v>4105.02</v>
      </c>
      <c r="E1243" s="8">
        <f t="shared" si="17"/>
        <v>0</v>
      </c>
      <c r="F1243" s="53">
        <v>5.064836642</v>
      </c>
      <c r="G1243" s="8">
        <f t="shared" si="16"/>
        <v>0.0001387626477</v>
      </c>
      <c r="H1243" s="8">
        <f t="shared" si="11"/>
        <v>4105.02</v>
      </c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</row>
    <row r="1244">
      <c r="A1244" s="54">
        <f t="shared" si="12"/>
        <v>45025</v>
      </c>
      <c r="B1244" s="8">
        <f t="shared" si="13"/>
        <v>443801566.4</v>
      </c>
      <c r="C1244" s="8">
        <f t="shared" si="14"/>
        <v>0.002671232877</v>
      </c>
      <c r="D1244" s="8">
        <v>4105.02</v>
      </c>
      <c r="E1244" s="8">
        <f t="shared" si="17"/>
        <v>0</v>
      </c>
      <c r="F1244" s="53">
        <v>4.990688172</v>
      </c>
      <c r="G1244" s="8">
        <f t="shared" si="16"/>
        <v>0.0001367311828</v>
      </c>
      <c r="H1244" s="8">
        <f t="shared" si="11"/>
        <v>4105.02</v>
      </c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</row>
    <row r="1245">
      <c r="A1245" s="54">
        <f t="shared" si="12"/>
        <v>45026</v>
      </c>
      <c r="B1245" s="8">
        <f t="shared" si="13"/>
        <v>444987063.8</v>
      </c>
      <c r="C1245" s="8">
        <f t="shared" si="14"/>
        <v>0.002671232877</v>
      </c>
      <c r="D1245" s="8">
        <v>4109.11</v>
      </c>
      <c r="E1245" s="8">
        <f t="shared" si="17"/>
        <v>0.0009963410653</v>
      </c>
      <c r="F1245" s="53">
        <v>4.93645543</v>
      </c>
      <c r="G1245" s="8">
        <f t="shared" si="16"/>
        <v>0.0001352453542</v>
      </c>
      <c r="H1245" s="8">
        <f t="shared" si="11"/>
        <v>4109.11</v>
      </c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</row>
    <row r="1246">
      <c r="A1246" s="54">
        <f t="shared" si="12"/>
        <v>45027</v>
      </c>
      <c r="B1246" s="8">
        <f t="shared" si="13"/>
        <v>446175727.8</v>
      </c>
      <c r="C1246" s="8">
        <f t="shared" si="14"/>
        <v>0.002671232877</v>
      </c>
      <c r="D1246" s="8">
        <v>4108.94</v>
      </c>
      <c r="E1246" s="8">
        <f t="shared" si="17"/>
        <v>-0.0000413714892</v>
      </c>
      <c r="F1246" s="53">
        <v>5.000460649</v>
      </c>
      <c r="G1246" s="8">
        <f t="shared" si="16"/>
        <v>0.0001369989219</v>
      </c>
      <c r="H1246" s="8">
        <f t="shared" si="11"/>
        <v>4108.94</v>
      </c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</row>
    <row r="1247">
      <c r="A1247" s="54">
        <f t="shared" si="12"/>
        <v>45028</v>
      </c>
      <c r="B1247" s="8">
        <f t="shared" si="13"/>
        <v>447367567.1</v>
      </c>
      <c r="C1247" s="8">
        <f t="shared" si="14"/>
        <v>0.002671232877</v>
      </c>
      <c r="D1247" s="8">
        <v>4091.95</v>
      </c>
      <c r="E1247" s="8">
        <f t="shared" si="17"/>
        <v>-0.00413488637</v>
      </c>
      <c r="F1247" s="53">
        <v>4.970166399</v>
      </c>
      <c r="G1247" s="8">
        <f t="shared" si="16"/>
        <v>0.0001361689424</v>
      </c>
      <c r="H1247" s="8">
        <f t="shared" si="11"/>
        <v>4091.95</v>
      </c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</row>
    <row r="1248">
      <c r="A1248" s="54">
        <f t="shared" si="12"/>
        <v>45029</v>
      </c>
      <c r="B1248" s="8">
        <f t="shared" si="13"/>
        <v>448562590.1</v>
      </c>
      <c r="C1248" s="8">
        <f t="shared" si="14"/>
        <v>0.002671232877</v>
      </c>
      <c r="D1248" s="8">
        <v>4146.22</v>
      </c>
      <c r="E1248" s="8">
        <f t="shared" si="17"/>
        <v>0.0132626254</v>
      </c>
      <c r="F1248" s="53">
        <v>5.028495842</v>
      </c>
      <c r="G1248" s="8">
        <f t="shared" si="16"/>
        <v>0.0001377670094</v>
      </c>
      <c r="H1248" s="8">
        <f t="shared" si="11"/>
        <v>4146.22</v>
      </c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</row>
    <row r="1249">
      <c r="A1249" s="54">
        <f t="shared" si="12"/>
        <v>45030</v>
      </c>
      <c r="B1249" s="8">
        <f t="shared" si="13"/>
        <v>449760805.2</v>
      </c>
      <c r="C1249" s="8">
        <f t="shared" si="14"/>
        <v>0.002671232877</v>
      </c>
      <c r="D1249" s="8">
        <v>4137.64</v>
      </c>
      <c r="E1249" s="8">
        <f t="shared" si="17"/>
        <v>-0.002069354738</v>
      </c>
      <c r="F1249" s="53">
        <v>5.038007529</v>
      </c>
      <c r="G1249" s="8">
        <f t="shared" si="16"/>
        <v>0.0001380276035</v>
      </c>
      <c r="H1249" s="8">
        <f t="shared" si="11"/>
        <v>4137.64</v>
      </c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</row>
    <row r="1250">
      <c r="A1250" s="54">
        <f t="shared" si="12"/>
        <v>45031</v>
      </c>
      <c r="B1250" s="8">
        <f t="shared" si="13"/>
        <v>450962221.1</v>
      </c>
      <c r="C1250" s="8">
        <f t="shared" si="14"/>
        <v>0.002671232877</v>
      </c>
      <c r="D1250" s="8">
        <v>4137.64</v>
      </c>
      <c r="E1250" s="8">
        <f t="shared" si="17"/>
        <v>0</v>
      </c>
      <c r="F1250" s="53">
        <v>5.075516226</v>
      </c>
      <c r="G1250" s="8">
        <f t="shared" si="16"/>
        <v>0.0001390552391</v>
      </c>
      <c r="H1250" s="8">
        <f t="shared" si="11"/>
        <v>4137.64</v>
      </c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</row>
    <row r="1251">
      <c r="A1251" s="54">
        <f t="shared" si="12"/>
        <v>45032</v>
      </c>
      <c r="B1251" s="8">
        <f t="shared" si="13"/>
        <v>452166846.2</v>
      </c>
      <c r="C1251" s="8">
        <f t="shared" si="14"/>
        <v>0.002671232877</v>
      </c>
      <c r="D1251" s="8">
        <v>4137.64</v>
      </c>
      <c r="E1251" s="8">
        <f t="shared" si="17"/>
        <v>0</v>
      </c>
      <c r="F1251" s="53">
        <v>4.969160467</v>
      </c>
      <c r="G1251" s="8">
        <f t="shared" si="16"/>
        <v>0.0001361413827</v>
      </c>
      <c r="H1251" s="8">
        <f t="shared" si="11"/>
        <v>4137.64</v>
      </c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</row>
    <row r="1252">
      <c r="A1252" s="54">
        <f t="shared" si="12"/>
        <v>45033</v>
      </c>
      <c r="B1252" s="8">
        <f t="shared" si="13"/>
        <v>453374689.1</v>
      </c>
      <c r="C1252" s="8">
        <f t="shared" si="14"/>
        <v>0.002671232877</v>
      </c>
      <c r="D1252" s="8">
        <v>4151.32</v>
      </c>
      <c r="E1252" s="8">
        <f t="shared" si="17"/>
        <v>0.003306232538</v>
      </c>
      <c r="F1252" s="53">
        <v>5.045340437</v>
      </c>
      <c r="G1252" s="8">
        <f t="shared" si="16"/>
        <v>0.0001382285051</v>
      </c>
      <c r="H1252" s="8">
        <f t="shared" si="11"/>
        <v>4151.32</v>
      </c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</row>
    <row r="1253">
      <c r="A1253" s="54">
        <f t="shared" si="12"/>
        <v>45034</v>
      </c>
      <c r="B1253" s="8">
        <f t="shared" si="13"/>
        <v>454585758.5</v>
      </c>
      <c r="C1253" s="8">
        <f t="shared" si="14"/>
        <v>0.002671232877</v>
      </c>
      <c r="D1253" s="8">
        <v>4154.87</v>
      </c>
      <c r="E1253" s="8">
        <f t="shared" si="17"/>
        <v>0.0008551496873</v>
      </c>
      <c r="F1253" s="53">
        <v>4.993834626</v>
      </c>
      <c r="G1253" s="8">
        <f t="shared" si="16"/>
        <v>0.000136817387</v>
      </c>
      <c r="H1253" s="8">
        <f t="shared" si="11"/>
        <v>4154.87</v>
      </c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</row>
    <row r="1254">
      <c r="A1254" s="54">
        <f t="shared" si="12"/>
        <v>45035</v>
      </c>
      <c r="B1254" s="8">
        <f t="shared" si="13"/>
        <v>455800062.9</v>
      </c>
      <c r="C1254" s="8">
        <f t="shared" si="14"/>
        <v>0.002671232877</v>
      </c>
      <c r="D1254" s="8">
        <v>4154.52</v>
      </c>
      <c r="E1254" s="8">
        <f t="shared" si="17"/>
        <v>-0.00008423849603</v>
      </c>
      <c r="F1254" s="53">
        <v>5.001000407</v>
      </c>
      <c r="G1254" s="8">
        <f t="shared" si="16"/>
        <v>0.0001370137098</v>
      </c>
      <c r="H1254" s="8">
        <f t="shared" si="11"/>
        <v>4154.52</v>
      </c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</row>
    <row r="1255">
      <c r="A1255" s="54">
        <f t="shared" si="12"/>
        <v>45036</v>
      </c>
      <c r="B1255" s="8">
        <f t="shared" si="13"/>
        <v>457017611</v>
      </c>
      <c r="C1255" s="8">
        <f t="shared" si="14"/>
        <v>0.002671232877</v>
      </c>
      <c r="D1255" s="8">
        <v>4129.79</v>
      </c>
      <c r="E1255" s="8">
        <f t="shared" si="17"/>
        <v>-0.005952552882</v>
      </c>
      <c r="F1255" s="53">
        <v>5.028773465</v>
      </c>
      <c r="G1255" s="8">
        <f t="shared" si="16"/>
        <v>0.0001377746155</v>
      </c>
      <c r="H1255" s="8">
        <f t="shared" si="11"/>
        <v>4129.79</v>
      </c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</row>
    <row r="1256">
      <c r="A1256" s="54">
        <f t="shared" si="12"/>
        <v>45037</v>
      </c>
      <c r="B1256" s="8">
        <f t="shared" si="13"/>
        <v>458238411.5</v>
      </c>
      <c r="C1256" s="8">
        <f t="shared" si="14"/>
        <v>0.002671232877</v>
      </c>
      <c r="D1256" s="8">
        <v>4133.52</v>
      </c>
      <c r="E1256" s="8">
        <f t="shared" si="17"/>
        <v>0.0009031936249</v>
      </c>
      <c r="F1256" s="53">
        <v>4.998037238</v>
      </c>
      <c r="G1256" s="8">
        <f t="shared" si="16"/>
        <v>0.0001369325271</v>
      </c>
      <c r="H1256" s="8">
        <f t="shared" si="11"/>
        <v>4133.52</v>
      </c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</row>
    <row r="1257">
      <c r="A1257" s="54">
        <f t="shared" si="12"/>
        <v>45038</v>
      </c>
      <c r="B1257" s="8">
        <f t="shared" si="13"/>
        <v>459462473</v>
      </c>
      <c r="C1257" s="8">
        <f t="shared" si="14"/>
        <v>0.002671232877</v>
      </c>
      <c r="D1257" s="8">
        <v>4133.52</v>
      </c>
      <c r="E1257" s="8">
        <f t="shared" si="17"/>
        <v>0</v>
      </c>
      <c r="F1257" s="53">
        <v>5.009192715</v>
      </c>
      <c r="G1257" s="8">
        <f t="shared" si="16"/>
        <v>0.0001372381566</v>
      </c>
      <c r="H1257" s="8">
        <f t="shared" si="11"/>
        <v>4133.52</v>
      </c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</row>
    <row r="1258">
      <c r="A1258" s="54">
        <f t="shared" si="12"/>
        <v>45039</v>
      </c>
      <c r="B1258" s="8">
        <f t="shared" si="13"/>
        <v>460689804.3</v>
      </c>
      <c r="C1258" s="8">
        <f t="shared" si="14"/>
        <v>0.002671232877</v>
      </c>
      <c r="D1258" s="8">
        <v>4133.52</v>
      </c>
      <c r="E1258" s="8">
        <f t="shared" si="17"/>
        <v>0</v>
      </c>
      <c r="F1258" s="53">
        <v>5.011954258</v>
      </c>
      <c r="G1258" s="8">
        <f t="shared" si="16"/>
        <v>0.0001373138153</v>
      </c>
      <c r="H1258" s="8">
        <f t="shared" si="11"/>
        <v>4133.52</v>
      </c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</row>
    <row r="1259">
      <c r="A1259" s="54">
        <f t="shared" si="12"/>
        <v>45040</v>
      </c>
      <c r="B1259" s="8">
        <f t="shared" si="13"/>
        <v>461920414</v>
      </c>
      <c r="C1259" s="8">
        <f t="shared" si="14"/>
        <v>0.002671232877</v>
      </c>
      <c r="D1259" s="8">
        <v>4137.04</v>
      </c>
      <c r="E1259" s="8">
        <f t="shared" si="17"/>
        <v>0.000851574445</v>
      </c>
      <c r="F1259" s="53">
        <v>5.019095824</v>
      </c>
      <c r="G1259" s="8">
        <f t="shared" si="16"/>
        <v>0.0001375094746</v>
      </c>
      <c r="H1259" s="8">
        <f t="shared" si="11"/>
        <v>4137.04</v>
      </c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</row>
    <row r="1260">
      <c r="A1260" s="54">
        <f t="shared" si="12"/>
        <v>45041</v>
      </c>
      <c r="B1260" s="8">
        <f t="shared" si="13"/>
        <v>463154311</v>
      </c>
      <c r="C1260" s="8">
        <f t="shared" si="14"/>
        <v>0.002671232877</v>
      </c>
      <c r="D1260" s="8">
        <v>4071.63</v>
      </c>
      <c r="E1260" s="8">
        <f t="shared" si="17"/>
        <v>-0.01581082126</v>
      </c>
      <c r="F1260" s="53">
        <v>5.01808544</v>
      </c>
      <c r="G1260" s="8">
        <f t="shared" si="16"/>
        <v>0.0001374817929</v>
      </c>
      <c r="H1260" s="8">
        <f t="shared" si="11"/>
        <v>4071.63</v>
      </c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</row>
    <row r="1261">
      <c r="A1261" s="54">
        <f t="shared" si="12"/>
        <v>45042</v>
      </c>
      <c r="B1261" s="8">
        <f t="shared" si="13"/>
        <v>464391504</v>
      </c>
      <c r="C1261" s="8">
        <f t="shared" si="14"/>
        <v>0.002671232877</v>
      </c>
      <c r="D1261" s="8">
        <v>4055.99</v>
      </c>
      <c r="E1261" s="8">
        <f t="shared" si="17"/>
        <v>-0.00384121347</v>
      </c>
      <c r="F1261" s="53">
        <v>4.954184223</v>
      </c>
      <c r="G1261" s="8">
        <f t="shared" si="16"/>
        <v>0.0001357310746</v>
      </c>
      <c r="H1261" s="8">
        <f t="shared" si="11"/>
        <v>4055.99</v>
      </c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</row>
    <row r="1262">
      <c r="A1262" s="54">
        <f t="shared" si="12"/>
        <v>45043</v>
      </c>
      <c r="B1262" s="8">
        <f t="shared" si="13"/>
        <v>465632001.9</v>
      </c>
      <c r="C1262" s="8">
        <f t="shared" si="14"/>
        <v>0.002671232877</v>
      </c>
      <c r="D1262" s="8">
        <v>4135.35</v>
      </c>
      <c r="E1262" s="8">
        <f t="shared" si="17"/>
        <v>0.01956612319</v>
      </c>
      <c r="F1262" s="53">
        <v>4.993515295</v>
      </c>
      <c r="G1262" s="8">
        <f t="shared" si="16"/>
        <v>0.0001368086382</v>
      </c>
      <c r="H1262" s="8">
        <f t="shared" si="11"/>
        <v>4135.35</v>
      </c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</row>
    <row r="1263">
      <c r="A1263" s="54">
        <f t="shared" si="12"/>
        <v>45044</v>
      </c>
      <c r="B1263" s="8">
        <f t="shared" si="13"/>
        <v>466875813.4</v>
      </c>
      <c r="C1263" s="8">
        <f t="shared" si="14"/>
        <v>0.002671232877</v>
      </c>
      <c r="D1263" s="8">
        <v>4169.48</v>
      </c>
      <c r="E1263" s="8">
        <f t="shared" si="17"/>
        <v>0.008253231286</v>
      </c>
      <c r="F1263" s="53">
        <v>5.022288825</v>
      </c>
      <c r="G1263" s="8">
        <f t="shared" si="16"/>
        <v>0.0001375969541</v>
      </c>
      <c r="H1263" s="8">
        <f t="shared" si="11"/>
        <v>4169.48</v>
      </c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</row>
    <row r="1264">
      <c r="A1264" s="54">
        <f t="shared" si="12"/>
        <v>45045</v>
      </c>
      <c r="B1264" s="8">
        <f t="shared" si="13"/>
        <v>468122947.4</v>
      </c>
      <c r="C1264" s="8">
        <f t="shared" si="14"/>
        <v>0.002671232877</v>
      </c>
      <c r="D1264" s="8">
        <v>4169.48</v>
      </c>
      <c r="E1264" s="8">
        <f t="shared" si="17"/>
        <v>0</v>
      </c>
      <c r="F1264" s="53">
        <v>5.029141495</v>
      </c>
      <c r="G1264" s="8">
        <f t="shared" si="16"/>
        <v>0.0001377846985</v>
      </c>
      <c r="H1264" s="8">
        <f t="shared" si="11"/>
        <v>4169.48</v>
      </c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</row>
    <row r="1265">
      <c r="A1265" s="54">
        <f t="shared" si="12"/>
        <v>45046</v>
      </c>
      <c r="B1265" s="8">
        <f t="shared" si="13"/>
        <v>469373412.8</v>
      </c>
      <c r="C1265" s="8">
        <f t="shared" si="14"/>
        <v>0.002671232877</v>
      </c>
      <c r="D1265" s="8">
        <v>4169.48</v>
      </c>
      <c r="E1265" s="8">
        <f t="shared" si="17"/>
        <v>0</v>
      </c>
      <c r="F1265" s="53">
        <v>4.970779765</v>
      </c>
      <c r="G1265" s="8">
        <f t="shared" si="16"/>
        <v>0.000136185747</v>
      </c>
      <c r="H1265" s="8">
        <f t="shared" si="11"/>
        <v>4169.48</v>
      </c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</row>
    <row r="1266">
      <c r="A1266" s="54">
        <f t="shared" si="12"/>
        <v>45047</v>
      </c>
      <c r="B1266" s="8">
        <f t="shared" si="13"/>
        <v>470627218.5</v>
      </c>
      <c r="C1266" s="8">
        <f t="shared" si="14"/>
        <v>0.002671232877</v>
      </c>
      <c r="D1266" s="8">
        <v>4167.87</v>
      </c>
      <c r="E1266" s="8">
        <f t="shared" si="17"/>
        <v>-0.0003861392788</v>
      </c>
      <c r="F1266" s="53">
        <v>4.930668915</v>
      </c>
      <c r="G1266" s="8">
        <f t="shared" si="16"/>
        <v>0.0001350868196</v>
      </c>
      <c r="H1266" s="8">
        <f t="shared" si="11"/>
        <v>4167.87</v>
      </c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</row>
    <row r="1267">
      <c r="A1267" s="54">
        <f t="shared" si="12"/>
        <v>45048</v>
      </c>
      <c r="B1267" s="8">
        <f t="shared" si="13"/>
        <v>471884373.4</v>
      </c>
      <c r="C1267" s="8">
        <f t="shared" si="14"/>
        <v>0.002671232877</v>
      </c>
      <c r="D1267" s="8">
        <v>4119.58</v>
      </c>
      <c r="E1267" s="8">
        <f t="shared" si="17"/>
        <v>-0.01158625389</v>
      </c>
      <c r="F1267" s="53">
        <v>5.041511463</v>
      </c>
      <c r="G1267" s="8">
        <f t="shared" si="16"/>
        <v>0.0001381236017</v>
      </c>
      <c r="H1267" s="8">
        <f t="shared" si="11"/>
        <v>4119.58</v>
      </c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</row>
    <row r="1268">
      <c r="A1268" s="54">
        <f t="shared" si="12"/>
        <v>45049</v>
      </c>
      <c r="B1268" s="8">
        <f t="shared" si="13"/>
        <v>473144886.5</v>
      </c>
      <c r="C1268" s="8">
        <f t="shared" si="14"/>
        <v>0.002671232877</v>
      </c>
      <c r="D1268" s="8">
        <v>4090.75</v>
      </c>
      <c r="E1268" s="8">
        <f t="shared" si="17"/>
        <v>-0.006998286233</v>
      </c>
      <c r="F1268" s="53">
        <v>4.96230164</v>
      </c>
      <c r="G1268" s="8">
        <f t="shared" si="16"/>
        <v>0.0001359534696</v>
      </c>
      <c r="H1268" s="8">
        <f t="shared" si="11"/>
        <v>4090.75</v>
      </c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</row>
    <row r="1269">
      <c r="A1269" s="54">
        <f t="shared" si="12"/>
        <v>45050</v>
      </c>
      <c r="B1269" s="8">
        <f t="shared" si="13"/>
        <v>474408766.6</v>
      </c>
      <c r="C1269" s="8">
        <f t="shared" si="14"/>
        <v>0.002671232877</v>
      </c>
      <c r="D1269" s="8">
        <v>4061.22</v>
      </c>
      <c r="E1269" s="8">
        <f t="shared" si="17"/>
        <v>-0.007218725173</v>
      </c>
      <c r="F1269" s="53">
        <v>4.971767357</v>
      </c>
      <c r="G1269" s="8">
        <f t="shared" si="16"/>
        <v>0.0001362128043</v>
      </c>
      <c r="H1269" s="8">
        <f t="shared" si="11"/>
        <v>4061.22</v>
      </c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</row>
    <row r="1270">
      <c r="A1270" s="54">
        <f t="shared" si="12"/>
        <v>45051</v>
      </c>
      <c r="B1270" s="8">
        <f t="shared" si="13"/>
        <v>475676022.9</v>
      </c>
      <c r="C1270" s="8">
        <f t="shared" si="14"/>
        <v>0.002671232877</v>
      </c>
      <c r="D1270" s="8">
        <v>4136.25</v>
      </c>
      <c r="E1270" s="8">
        <f t="shared" si="17"/>
        <v>0.01847474404</v>
      </c>
      <c r="F1270" s="53">
        <v>5.050768048</v>
      </c>
      <c r="G1270" s="8">
        <f t="shared" si="16"/>
        <v>0.0001383772068</v>
      </c>
      <c r="H1270" s="8">
        <f t="shared" si="11"/>
        <v>4136.25</v>
      </c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</row>
    <row r="1271">
      <c r="A1271" s="54">
        <f t="shared" si="12"/>
        <v>45052</v>
      </c>
      <c r="B1271" s="8">
        <f t="shared" si="13"/>
        <v>476946664.4</v>
      </c>
      <c r="C1271" s="8">
        <f t="shared" si="14"/>
        <v>0.002671232877</v>
      </c>
      <c r="D1271" s="8">
        <v>4136.25</v>
      </c>
      <c r="E1271" s="8">
        <f t="shared" si="17"/>
        <v>0</v>
      </c>
      <c r="F1271" s="53">
        <v>4.930260383</v>
      </c>
      <c r="G1271" s="8">
        <f t="shared" si="16"/>
        <v>0.0001350756269</v>
      </c>
      <c r="H1271" s="8">
        <f t="shared" si="11"/>
        <v>4136.25</v>
      </c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</row>
    <row r="1272">
      <c r="A1272" s="54">
        <f t="shared" si="12"/>
        <v>45053</v>
      </c>
      <c r="B1272" s="8">
        <f t="shared" si="13"/>
        <v>478220700</v>
      </c>
      <c r="C1272" s="8">
        <f t="shared" si="14"/>
        <v>0.002671232877</v>
      </c>
      <c r="D1272" s="8">
        <v>4136.25</v>
      </c>
      <c r="E1272" s="8">
        <f t="shared" si="17"/>
        <v>0</v>
      </c>
      <c r="F1272" s="53">
        <v>4.998978508</v>
      </c>
      <c r="G1272" s="8">
        <f t="shared" si="16"/>
        <v>0.0001369583153</v>
      </c>
      <c r="H1272" s="8">
        <f t="shared" si="11"/>
        <v>4136.25</v>
      </c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</row>
    <row r="1273">
      <c r="A1273" s="54">
        <f t="shared" si="12"/>
        <v>45054</v>
      </c>
      <c r="B1273" s="8">
        <f t="shared" si="13"/>
        <v>479498138.8</v>
      </c>
      <c r="C1273" s="8">
        <f t="shared" si="14"/>
        <v>0.002671232877</v>
      </c>
      <c r="D1273" s="8">
        <v>4138.12</v>
      </c>
      <c r="E1273" s="8">
        <f t="shared" si="17"/>
        <v>0.0004521003324</v>
      </c>
      <c r="F1273" s="53">
        <v>5.05816636</v>
      </c>
      <c r="G1273" s="8">
        <f t="shared" si="16"/>
        <v>0.0001385799003</v>
      </c>
      <c r="H1273" s="8">
        <f t="shared" si="11"/>
        <v>4138.12</v>
      </c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</row>
    <row r="1274">
      <c r="A1274" s="54">
        <f t="shared" si="12"/>
        <v>45055</v>
      </c>
      <c r="B1274" s="8">
        <f t="shared" si="13"/>
        <v>480778990</v>
      </c>
      <c r="C1274" s="8">
        <f t="shared" si="14"/>
        <v>0.002671232877</v>
      </c>
      <c r="D1274" s="8">
        <v>4119.17</v>
      </c>
      <c r="E1274" s="8">
        <f t="shared" si="17"/>
        <v>-0.004579374209</v>
      </c>
      <c r="F1274" s="53">
        <v>4.980905276</v>
      </c>
      <c r="G1274" s="8">
        <f t="shared" si="16"/>
        <v>0.0001364631582</v>
      </c>
      <c r="H1274" s="8">
        <f t="shared" si="11"/>
        <v>4119.17</v>
      </c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</row>
    <row r="1275">
      <c r="A1275" s="54">
        <f t="shared" si="12"/>
        <v>45056</v>
      </c>
      <c r="B1275" s="8">
        <f t="shared" si="13"/>
        <v>482063262.7</v>
      </c>
      <c r="C1275" s="8">
        <f t="shared" si="14"/>
        <v>0.002671232877</v>
      </c>
      <c r="D1275" s="8">
        <v>4137.64</v>
      </c>
      <c r="E1275" s="8">
        <f t="shared" si="17"/>
        <v>0.004483913021</v>
      </c>
      <c r="F1275" s="53">
        <v>4.968184045</v>
      </c>
      <c r="G1275" s="8">
        <f t="shared" si="16"/>
        <v>0.0001361146314</v>
      </c>
      <c r="H1275" s="8">
        <f t="shared" si="11"/>
        <v>4137.64</v>
      </c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</row>
    <row r="1276">
      <c r="A1276" s="54">
        <f t="shared" si="12"/>
        <v>45057</v>
      </c>
      <c r="B1276" s="8">
        <f t="shared" si="13"/>
        <v>483350965.9</v>
      </c>
      <c r="C1276" s="8">
        <f t="shared" si="14"/>
        <v>0.002671232877</v>
      </c>
      <c r="D1276" s="8">
        <v>4130.62</v>
      </c>
      <c r="E1276" s="8">
        <f t="shared" si="17"/>
        <v>-0.001696619329</v>
      </c>
      <c r="F1276" s="53">
        <v>5.042189489</v>
      </c>
      <c r="G1276" s="8">
        <f t="shared" si="16"/>
        <v>0.0001381421778</v>
      </c>
      <c r="H1276" s="8">
        <f t="shared" si="11"/>
        <v>4130.62</v>
      </c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</row>
    <row r="1277">
      <c r="A1277" s="54">
        <f t="shared" si="12"/>
        <v>45058</v>
      </c>
      <c r="B1277" s="8">
        <f t="shared" si="13"/>
        <v>484642108.9</v>
      </c>
      <c r="C1277" s="8">
        <f t="shared" si="14"/>
        <v>0.002671232877</v>
      </c>
      <c r="D1277" s="8">
        <v>4124.08</v>
      </c>
      <c r="E1277" s="8">
        <f t="shared" si="17"/>
        <v>-0.001583297423</v>
      </c>
      <c r="F1277" s="53">
        <v>4.894375635</v>
      </c>
      <c r="G1277" s="8">
        <f t="shared" si="16"/>
        <v>0.0001340924832</v>
      </c>
      <c r="H1277" s="8">
        <f t="shared" si="11"/>
        <v>4124.08</v>
      </c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</row>
    <row r="1278">
      <c r="A1278" s="54">
        <f t="shared" si="12"/>
        <v>45059</v>
      </c>
      <c r="B1278" s="8">
        <f t="shared" si="13"/>
        <v>485936700.8</v>
      </c>
      <c r="C1278" s="8">
        <f t="shared" si="14"/>
        <v>0.002671232877</v>
      </c>
      <c r="D1278" s="8">
        <v>4124.08</v>
      </c>
      <c r="E1278" s="8">
        <f t="shared" si="17"/>
        <v>0</v>
      </c>
      <c r="F1278" s="53">
        <v>5.085376917</v>
      </c>
      <c r="G1278" s="8">
        <f t="shared" si="16"/>
        <v>0.000139325395</v>
      </c>
      <c r="H1278" s="8">
        <f t="shared" si="11"/>
        <v>4124.08</v>
      </c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</row>
    <row r="1279">
      <c r="A1279" s="54">
        <f t="shared" si="12"/>
        <v>45060</v>
      </c>
      <c r="B1279" s="8">
        <f t="shared" si="13"/>
        <v>487234750.9</v>
      </c>
      <c r="C1279" s="8">
        <f t="shared" si="14"/>
        <v>0.002671232877</v>
      </c>
      <c r="D1279" s="8">
        <v>4124.08</v>
      </c>
      <c r="E1279" s="8">
        <f t="shared" si="17"/>
        <v>0</v>
      </c>
      <c r="F1279" s="53">
        <v>4.985780593</v>
      </c>
      <c r="G1279" s="8">
        <f t="shared" si="16"/>
        <v>0.0001365967286</v>
      </c>
      <c r="H1279" s="8">
        <f t="shared" si="11"/>
        <v>4124.08</v>
      </c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</row>
    <row r="1280">
      <c r="A1280" s="54">
        <f t="shared" si="12"/>
        <v>45061</v>
      </c>
      <c r="B1280" s="8">
        <f t="shared" si="13"/>
        <v>488536268.4</v>
      </c>
      <c r="C1280" s="8">
        <f t="shared" si="14"/>
        <v>0.002671232877</v>
      </c>
      <c r="D1280" s="8">
        <v>4136.28</v>
      </c>
      <c r="E1280" s="8">
        <f t="shared" si="17"/>
        <v>0.002958235534</v>
      </c>
      <c r="F1280" s="53">
        <v>4.926145718</v>
      </c>
      <c r="G1280" s="8">
        <f t="shared" si="16"/>
        <v>0.0001349628964</v>
      </c>
      <c r="H1280" s="8">
        <f t="shared" si="11"/>
        <v>4136.28</v>
      </c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</row>
    <row r="1281">
      <c r="A1281" s="54">
        <f t="shared" si="12"/>
        <v>45062</v>
      </c>
      <c r="B1281" s="8">
        <f t="shared" si="13"/>
        <v>489841262.6</v>
      </c>
      <c r="C1281" s="8">
        <f t="shared" si="14"/>
        <v>0.002671232877</v>
      </c>
      <c r="D1281" s="8">
        <v>4109.9</v>
      </c>
      <c r="E1281" s="8">
        <f t="shared" si="17"/>
        <v>-0.006377711374</v>
      </c>
      <c r="F1281" s="53">
        <v>4.986836109</v>
      </c>
      <c r="G1281" s="8">
        <f t="shared" si="16"/>
        <v>0.0001366256468</v>
      </c>
      <c r="H1281" s="8">
        <f t="shared" si="11"/>
        <v>4109.9</v>
      </c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</row>
    <row r="1282">
      <c r="A1282" s="54">
        <f t="shared" si="12"/>
        <v>45063</v>
      </c>
      <c r="B1282" s="8">
        <f t="shared" si="13"/>
        <v>491149742.6</v>
      </c>
      <c r="C1282" s="8">
        <f t="shared" si="14"/>
        <v>0.002671232877</v>
      </c>
      <c r="D1282" s="8">
        <v>4158.77</v>
      </c>
      <c r="E1282" s="8">
        <f t="shared" si="17"/>
        <v>0.01189080026</v>
      </c>
      <c r="F1282" s="53">
        <v>5.008003564</v>
      </c>
      <c r="G1282" s="8">
        <f t="shared" si="16"/>
        <v>0.0001372055771</v>
      </c>
      <c r="H1282" s="8">
        <f t="shared" si="11"/>
        <v>4158.77</v>
      </c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</row>
    <row r="1283">
      <c r="A1283" s="54">
        <f t="shared" si="12"/>
        <v>45064</v>
      </c>
      <c r="B1283" s="8">
        <f t="shared" si="13"/>
        <v>492461718</v>
      </c>
      <c r="C1283" s="8">
        <f t="shared" si="14"/>
        <v>0.002671232877</v>
      </c>
      <c r="D1283" s="8">
        <v>4198.05</v>
      </c>
      <c r="E1283" s="8">
        <f t="shared" si="17"/>
        <v>0.009445100354</v>
      </c>
      <c r="F1283" s="53">
        <v>4.912142066</v>
      </c>
      <c r="G1283" s="8">
        <f t="shared" si="16"/>
        <v>0.0001345792347</v>
      </c>
      <c r="H1283" s="8">
        <f t="shared" si="11"/>
        <v>4198.05</v>
      </c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</row>
    <row r="1284">
      <c r="A1284" s="54">
        <f t="shared" si="12"/>
        <v>45065</v>
      </c>
      <c r="B1284" s="8">
        <f t="shared" si="13"/>
        <v>493777197.9</v>
      </c>
      <c r="C1284" s="8">
        <f t="shared" si="14"/>
        <v>0.002671232877</v>
      </c>
      <c r="D1284" s="8">
        <v>4191.98</v>
      </c>
      <c r="E1284" s="8">
        <f t="shared" si="17"/>
        <v>-0.00144590941</v>
      </c>
      <c r="F1284" s="53">
        <v>5.017503351</v>
      </c>
      <c r="G1284" s="8">
        <f t="shared" si="16"/>
        <v>0.0001374658452</v>
      </c>
      <c r="H1284" s="8">
        <f t="shared" si="11"/>
        <v>4191.98</v>
      </c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</row>
    <row r="1285">
      <c r="A1285" s="54">
        <f t="shared" si="12"/>
        <v>45066</v>
      </c>
      <c r="B1285" s="8">
        <f t="shared" si="13"/>
        <v>495096191.8</v>
      </c>
      <c r="C1285" s="8">
        <f t="shared" si="14"/>
        <v>0.002671232877</v>
      </c>
      <c r="D1285" s="8">
        <v>4191.98</v>
      </c>
      <c r="E1285" s="8">
        <f t="shared" si="17"/>
        <v>0</v>
      </c>
      <c r="F1285" s="53">
        <v>5.035099175</v>
      </c>
      <c r="G1285" s="8">
        <f t="shared" si="16"/>
        <v>0.0001379479226</v>
      </c>
      <c r="H1285" s="8">
        <f t="shared" si="11"/>
        <v>4191.98</v>
      </c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</row>
    <row r="1286">
      <c r="A1286" s="54">
        <f t="shared" si="12"/>
        <v>45067</v>
      </c>
      <c r="B1286" s="8">
        <f t="shared" si="13"/>
        <v>496418709</v>
      </c>
      <c r="C1286" s="8">
        <f t="shared" si="14"/>
        <v>0.002671232877</v>
      </c>
      <c r="D1286" s="8">
        <v>4191.98</v>
      </c>
      <c r="E1286" s="8">
        <f t="shared" si="17"/>
        <v>0</v>
      </c>
      <c r="F1286" s="53">
        <v>5.024463876</v>
      </c>
      <c r="G1286" s="8">
        <f t="shared" si="16"/>
        <v>0.0001376565445</v>
      </c>
      <c r="H1286" s="8">
        <f t="shared" si="11"/>
        <v>4191.98</v>
      </c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</row>
    <row r="1287">
      <c r="A1287" s="54">
        <f t="shared" si="12"/>
        <v>45068</v>
      </c>
      <c r="B1287" s="8">
        <f t="shared" si="13"/>
        <v>497744759</v>
      </c>
      <c r="C1287" s="8">
        <f t="shared" si="14"/>
        <v>0.002671232877</v>
      </c>
      <c r="D1287" s="8">
        <v>4192.63</v>
      </c>
      <c r="E1287" s="8">
        <f t="shared" si="17"/>
        <v>0.0001550579917</v>
      </c>
      <c r="F1287" s="53">
        <v>4.963448681</v>
      </c>
      <c r="G1287" s="8">
        <f t="shared" si="16"/>
        <v>0.0001359848954</v>
      </c>
      <c r="H1287" s="8">
        <f t="shared" si="11"/>
        <v>4192.63</v>
      </c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</row>
    <row r="1288">
      <c r="A1288" s="54">
        <f t="shared" si="12"/>
        <v>45069</v>
      </c>
      <c r="B1288" s="8">
        <f t="shared" si="13"/>
        <v>499074351.2</v>
      </c>
      <c r="C1288" s="8">
        <f t="shared" si="14"/>
        <v>0.002671232877</v>
      </c>
      <c r="D1288" s="8">
        <v>4145.58</v>
      </c>
      <c r="E1288" s="8">
        <f t="shared" si="17"/>
        <v>-0.01122207302</v>
      </c>
      <c r="F1288" s="53">
        <v>5.015680267</v>
      </c>
      <c r="G1288" s="8">
        <f t="shared" si="16"/>
        <v>0.0001374158977</v>
      </c>
      <c r="H1288" s="8">
        <f t="shared" si="11"/>
        <v>4145.58</v>
      </c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</row>
    <row r="1289">
      <c r="A1289" s="54">
        <f t="shared" si="12"/>
        <v>45070</v>
      </c>
      <c r="B1289" s="8">
        <f t="shared" si="13"/>
        <v>500407495</v>
      </c>
      <c r="C1289" s="8">
        <f t="shared" si="14"/>
        <v>0.002671232877</v>
      </c>
      <c r="D1289" s="8">
        <v>4115.24</v>
      </c>
      <c r="E1289" s="8">
        <f t="shared" si="17"/>
        <v>-0.007318638164</v>
      </c>
      <c r="F1289" s="53">
        <v>4.94592309</v>
      </c>
      <c r="G1289" s="8">
        <f t="shared" si="16"/>
        <v>0.0001355047422</v>
      </c>
      <c r="H1289" s="8">
        <f t="shared" si="11"/>
        <v>4115.24</v>
      </c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</row>
    <row r="1290">
      <c r="A1290" s="54">
        <f t="shared" si="12"/>
        <v>45071</v>
      </c>
      <c r="B1290" s="8">
        <f t="shared" si="13"/>
        <v>501744199.9</v>
      </c>
      <c r="C1290" s="8">
        <f t="shared" si="14"/>
        <v>0.002671232877</v>
      </c>
      <c r="D1290" s="8">
        <v>4151.28</v>
      </c>
      <c r="E1290" s="8">
        <f t="shared" si="17"/>
        <v>0.008757690924</v>
      </c>
      <c r="F1290" s="53">
        <v>5.005831342</v>
      </c>
      <c r="G1290" s="8">
        <f t="shared" si="16"/>
        <v>0.0001371460642</v>
      </c>
      <c r="H1290" s="8">
        <f t="shared" si="11"/>
        <v>4151.28</v>
      </c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</row>
    <row r="1291">
      <c r="A1291" s="54">
        <f t="shared" si="12"/>
        <v>45072</v>
      </c>
      <c r="B1291" s="8">
        <f t="shared" si="13"/>
        <v>503084475.5</v>
      </c>
      <c r="C1291" s="8">
        <f t="shared" si="14"/>
        <v>0.002671232877</v>
      </c>
      <c r="D1291" s="8">
        <v>4205.45</v>
      </c>
      <c r="E1291" s="8">
        <f t="shared" si="17"/>
        <v>0.0130489873</v>
      </c>
      <c r="F1291" s="53">
        <v>4.920553729</v>
      </c>
      <c r="G1291" s="8">
        <f t="shared" si="16"/>
        <v>0.0001348096912</v>
      </c>
      <c r="H1291" s="8">
        <f t="shared" si="11"/>
        <v>4205.45</v>
      </c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</row>
    <row r="1292">
      <c r="A1292" s="54">
        <f t="shared" si="12"/>
        <v>45073</v>
      </c>
      <c r="B1292" s="8">
        <f t="shared" si="13"/>
        <v>504428331.3</v>
      </c>
      <c r="C1292" s="8">
        <f t="shared" si="14"/>
        <v>0.002671232877</v>
      </c>
      <c r="D1292" s="8">
        <v>4205.45</v>
      </c>
      <c r="E1292" s="8">
        <f t="shared" si="17"/>
        <v>0</v>
      </c>
      <c r="F1292" s="53">
        <v>4.957953</v>
      </c>
      <c r="G1292" s="8">
        <f t="shared" si="16"/>
        <v>0.0001358343288</v>
      </c>
      <c r="H1292" s="8">
        <f t="shared" si="11"/>
        <v>4205.45</v>
      </c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</row>
    <row r="1293">
      <c r="A1293" s="54">
        <f t="shared" si="12"/>
        <v>45074</v>
      </c>
      <c r="B1293" s="8">
        <f t="shared" si="13"/>
        <v>505775776.9</v>
      </c>
      <c r="C1293" s="8">
        <f t="shared" si="14"/>
        <v>0.002671232877</v>
      </c>
      <c r="D1293" s="8">
        <v>4205.45</v>
      </c>
      <c r="E1293" s="8">
        <f t="shared" si="17"/>
        <v>0</v>
      </c>
      <c r="F1293" s="53">
        <v>4.983071685</v>
      </c>
      <c r="G1293" s="8">
        <f t="shared" si="16"/>
        <v>0.0001365225119</v>
      </c>
      <c r="H1293" s="8">
        <f t="shared" si="11"/>
        <v>4205.45</v>
      </c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</row>
    <row r="1294">
      <c r="A1294" s="54">
        <f t="shared" si="12"/>
        <v>45075</v>
      </c>
      <c r="B1294" s="8">
        <f t="shared" si="13"/>
        <v>507126821.7</v>
      </c>
      <c r="C1294" s="8">
        <f t="shared" si="14"/>
        <v>0.002671232877</v>
      </c>
      <c r="D1294" s="8">
        <v>4205.45</v>
      </c>
      <c r="E1294" s="8">
        <f t="shared" si="17"/>
        <v>0</v>
      </c>
      <c r="F1294" s="53">
        <v>4.990731779</v>
      </c>
      <c r="G1294" s="8">
        <f t="shared" si="16"/>
        <v>0.0001367323775</v>
      </c>
      <c r="H1294" s="8">
        <f t="shared" si="11"/>
        <v>4205.45</v>
      </c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</row>
    <row r="1295">
      <c r="A1295" s="54">
        <f t="shared" si="12"/>
        <v>45076</v>
      </c>
      <c r="B1295" s="8">
        <f t="shared" si="13"/>
        <v>508481475.6</v>
      </c>
      <c r="C1295" s="8">
        <f t="shared" si="14"/>
        <v>0.002671232877</v>
      </c>
      <c r="D1295" s="8">
        <v>4205.52</v>
      </c>
      <c r="E1295" s="8">
        <f t="shared" si="17"/>
        <v>0.00001664506771</v>
      </c>
      <c r="F1295" s="53">
        <v>4.952272411</v>
      </c>
      <c r="G1295" s="8">
        <f t="shared" si="16"/>
        <v>0.0001356786962</v>
      </c>
      <c r="H1295" s="8">
        <f t="shared" si="11"/>
        <v>4205.52</v>
      </c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</row>
    <row r="1296">
      <c r="A1296" s="54">
        <f t="shared" si="12"/>
        <v>45077</v>
      </c>
      <c r="B1296" s="8">
        <f t="shared" si="13"/>
        <v>509839748</v>
      </c>
      <c r="C1296" s="8">
        <f t="shared" si="14"/>
        <v>0.002671232877</v>
      </c>
      <c r="D1296" s="8">
        <v>4179.83</v>
      </c>
      <c r="E1296" s="8">
        <f t="shared" si="17"/>
        <v>-0.006108638171</v>
      </c>
      <c r="F1296" s="53">
        <v>5.009405971</v>
      </c>
      <c r="G1296" s="8">
        <f t="shared" si="16"/>
        <v>0.0001372439992</v>
      </c>
      <c r="H1296" s="8">
        <f t="shared" si="11"/>
        <v>4179.83</v>
      </c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</row>
    <row r="1297">
      <c r="A1297" s="54">
        <f t="shared" si="12"/>
        <v>45078</v>
      </c>
      <c r="B1297" s="8">
        <f t="shared" si="13"/>
        <v>511201648.7</v>
      </c>
      <c r="C1297" s="8">
        <f t="shared" si="14"/>
        <v>0.002671232877</v>
      </c>
      <c r="D1297" s="8">
        <v>4221.02</v>
      </c>
      <c r="E1297" s="8">
        <f t="shared" si="17"/>
        <v>0.009854467765</v>
      </c>
      <c r="F1297" s="53">
        <v>5.01049238</v>
      </c>
      <c r="G1297" s="8">
        <f t="shared" si="16"/>
        <v>0.0001372737638</v>
      </c>
      <c r="H1297" s="8">
        <f t="shared" si="11"/>
        <v>4221.02</v>
      </c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</row>
    <row r="1298">
      <c r="A1298" s="54">
        <f t="shared" si="12"/>
        <v>45079</v>
      </c>
      <c r="B1298" s="8">
        <f t="shared" si="13"/>
        <v>512567187.4</v>
      </c>
      <c r="C1298" s="8">
        <f t="shared" si="14"/>
        <v>0.002671232877</v>
      </c>
      <c r="D1298" s="8">
        <v>4282.37</v>
      </c>
      <c r="E1298" s="8">
        <f t="shared" si="17"/>
        <v>0.01453440164</v>
      </c>
      <c r="F1298" s="53">
        <v>4.956804485</v>
      </c>
      <c r="G1298" s="8">
        <f t="shared" si="16"/>
        <v>0.0001358028626</v>
      </c>
      <c r="H1298" s="8">
        <f t="shared" si="11"/>
        <v>4282.37</v>
      </c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</row>
    <row r="1299">
      <c r="A1299" s="54">
        <f t="shared" si="12"/>
        <v>45080</v>
      </c>
      <c r="B1299" s="8">
        <f t="shared" si="13"/>
        <v>513936373.7</v>
      </c>
      <c r="C1299" s="8">
        <f t="shared" si="14"/>
        <v>0.002671232877</v>
      </c>
      <c r="D1299" s="8">
        <v>4282.37</v>
      </c>
      <c r="E1299" s="8">
        <f t="shared" si="17"/>
        <v>0</v>
      </c>
      <c r="F1299" s="53">
        <v>5.107013909</v>
      </c>
      <c r="G1299" s="8">
        <f t="shared" si="16"/>
        <v>0.0001399181893</v>
      </c>
      <c r="H1299" s="8">
        <f t="shared" si="11"/>
        <v>4282.37</v>
      </c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</row>
    <row r="1300">
      <c r="A1300" s="54">
        <f t="shared" si="12"/>
        <v>45081</v>
      </c>
      <c r="B1300" s="8">
        <f t="shared" si="13"/>
        <v>515309217.4</v>
      </c>
      <c r="C1300" s="8">
        <f t="shared" si="14"/>
        <v>0.002671232877</v>
      </c>
      <c r="D1300" s="8">
        <v>4282.37</v>
      </c>
      <c r="E1300" s="8">
        <f t="shared" si="17"/>
        <v>0</v>
      </c>
      <c r="F1300" s="53">
        <v>4.921017782</v>
      </c>
      <c r="G1300" s="8">
        <f t="shared" si="16"/>
        <v>0.000134822405</v>
      </c>
      <c r="H1300" s="8">
        <f t="shared" si="11"/>
        <v>4282.37</v>
      </c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</row>
    <row r="1301">
      <c r="A1301" s="54">
        <f t="shared" si="12"/>
        <v>45082</v>
      </c>
      <c r="B1301" s="8">
        <f t="shared" si="13"/>
        <v>516685728.4</v>
      </c>
      <c r="C1301" s="8">
        <f t="shared" si="14"/>
        <v>0.002671232877</v>
      </c>
      <c r="D1301" s="8">
        <v>4273.79</v>
      </c>
      <c r="E1301" s="8">
        <f t="shared" si="17"/>
        <v>-0.002003563447</v>
      </c>
      <c r="F1301" s="53">
        <v>4.964366365</v>
      </c>
      <c r="G1301" s="8">
        <f t="shared" si="16"/>
        <v>0.0001360100374</v>
      </c>
      <c r="H1301" s="8">
        <f t="shared" si="11"/>
        <v>4273.79</v>
      </c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</row>
    <row r="1302">
      <c r="A1302" s="54">
        <f t="shared" si="12"/>
        <v>45083</v>
      </c>
      <c r="B1302" s="8">
        <f t="shared" si="13"/>
        <v>518065916.3</v>
      </c>
      <c r="C1302" s="8">
        <f t="shared" si="14"/>
        <v>0.002671232877</v>
      </c>
      <c r="D1302" s="8">
        <v>4283.85</v>
      </c>
      <c r="E1302" s="8">
        <f t="shared" si="17"/>
        <v>0.002353882619</v>
      </c>
      <c r="F1302" s="53">
        <v>4.891671539</v>
      </c>
      <c r="G1302" s="8">
        <f t="shared" si="16"/>
        <v>0.0001340183983</v>
      </c>
      <c r="H1302" s="8">
        <f t="shared" si="11"/>
        <v>4283.85</v>
      </c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</row>
    <row r="1303">
      <c r="A1303" s="54">
        <f t="shared" si="12"/>
        <v>45084</v>
      </c>
      <c r="B1303" s="8">
        <f t="shared" si="13"/>
        <v>519449791</v>
      </c>
      <c r="C1303" s="8">
        <f t="shared" si="14"/>
        <v>0.002671232877</v>
      </c>
      <c r="D1303" s="8">
        <v>4267.52</v>
      </c>
      <c r="E1303" s="8">
        <f t="shared" si="17"/>
        <v>-0.00381199155</v>
      </c>
      <c r="F1303" s="53">
        <v>4.957810059</v>
      </c>
      <c r="G1303" s="8">
        <f t="shared" si="16"/>
        <v>0.0001358304126</v>
      </c>
      <c r="H1303" s="8">
        <f t="shared" si="11"/>
        <v>4267.52</v>
      </c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</row>
    <row r="1304">
      <c r="A1304" s="54">
        <f t="shared" si="12"/>
        <v>45085</v>
      </c>
      <c r="B1304" s="8">
        <f t="shared" si="13"/>
        <v>520837362.3</v>
      </c>
      <c r="C1304" s="8">
        <f t="shared" si="14"/>
        <v>0.002671232877</v>
      </c>
      <c r="D1304" s="8">
        <v>4293.93</v>
      </c>
      <c r="E1304" s="8">
        <f t="shared" si="17"/>
        <v>0.006188606029</v>
      </c>
      <c r="F1304" s="53">
        <v>5.070769453</v>
      </c>
      <c r="G1304" s="8">
        <f t="shared" si="16"/>
        <v>0.0001389251905</v>
      </c>
      <c r="H1304" s="8">
        <f t="shared" si="11"/>
        <v>4293.93</v>
      </c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</row>
    <row r="1305">
      <c r="A1305" s="54">
        <f t="shared" si="12"/>
        <v>45086</v>
      </c>
      <c r="B1305" s="8">
        <f t="shared" si="13"/>
        <v>522228640.2</v>
      </c>
      <c r="C1305" s="8">
        <f t="shared" si="14"/>
        <v>0.002671232877</v>
      </c>
      <c r="D1305" s="8">
        <v>4298.86</v>
      </c>
      <c r="E1305" s="8">
        <f t="shared" si="17"/>
        <v>0.001148132364</v>
      </c>
      <c r="F1305" s="53">
        <v>4.939998314</v>
      </c>
      <c r="G1305" s="8">
        <f t="shared" si="16"/>
        <v>0.0001353424196</v>
      </c>
      <c r="H1305" s="8">
        <f t="shared" si="11"/>
        <v>4298.86</v>
      </c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</row>
    <row r="1306">
      <c r="A1306" s="54">
        <f t="shared" si="12"/>
        <v>45087</v>
      </c>
      <c r="B1306" s="8">
        <f t="shared" si="13"/>
        <v>523623634.5</v>
      </c>
      <c r="C1306" s="8">
        <f t="shared" si="14"/>
        <v>0.002671232877</v>
      </c>
      <c r="D1306" s="8">
        <v>4298.86</v>
      </c>
      <c r="E1306" s="8">
        <f t="shared" si="17"/>
        <v>0</v>
      </c>
      <c r="F1306" s="53">
        <v>4.967071101</v>
      </c>
      <c r="G1306" s="8">
        <f t="shared" si="16"/>
        <v>0.0001360841398</v>
      </c>
      <c r="H1306" s="8">
        <f t="shared" si="11"/>
        <v>4298.86</v>
      </c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</row>
    <row r="1307">
      <c r="A1307" s="54">
        <f t="shared" si="12"/>
        <v>45088</v>
      </c>
      <c r="B1307" s="8">
        <f t="shared" si="13"/>
        <v>525022355.2</v>
      </c>
      <c r="C1307" s="8">
        <f t="shared" si="14"/>
        <v>0.002671232877</v>
      </c>
      <c r="D1307" s="8">
        <v>4298.86</v>
      </c>
      <c r="E1307" s="8">
        <f t="shared" si="17"/>
        <v>0</v>
      </c>
      <c r="F1307" s="53">
        <v>4.967651762</v>
      </c>
      <c r="G1307" s="8">
        <f t="shared" si="16"/>
        <v>0.0001361000483</v>
      </c>
      <c r="H1307" s="8">
        <f t="shared" si="11"/>
        <v>4298.86</v>
      </c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</row>
    <row r="1308">
      <c r="A1308" s="54">
        <f t="shared" si="12"/>
        <v>45089</v>
      </c>
      <c r="B1308" s="8">
        <f t="shared" si="13"/>
        <v>526424812.2</v>
      </c>
      <c r="C1308" s="8">
        <f t="shared" si="14"/>
        <v>0.002671232877</v>
      </c>
      <c r="D1308" s="8">
        <v>4338.93</v>
      </c>
      <c r="E1308" s="8">
        <f t="shared" si="17"/>
        <v>0.00932107582</v>
      </c>
      <c r="F1308" s="53">
        <v>4.96048798</v>
      </c>
      <c r="G1308" s="8">
        <f t="shared" si="16"/>
        <v>0.0001359037803</v>
      </c>
      <c r="H1308" s="8">
        <f t="shared" si="11"/>
        <v>4338.93</v>
      </c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</row>
    <row r="1309">
      <c r="A1309" s="54">
        <f t="shared" si="12"/>
        <v>45090</v>
      </c>
      <c r="B1309" s="8">
        <f t="shared" si="13"/>
        <v>527831015.4</v>
      </c>
      <c r="C1309" s="8">
        <f t="shared" si="14"/>
        <v>0.002671232877</v>
      </c>
      <c r="D1309" s="8">
        <v>4369.01</v>
      </c>
      <c r="E1309" s="8">
        <f t="shared" si="17"/>
        <v>0.006932584762</v>
      </c>
      <c r="F1309" s="53">
        <v>5.016186836</v>
      </c>
      <c r="G1309" s="8">
        <f t="shared" si="16"/>
        <v>0.0001374297763</v>
      </c>
      <c r="H1309" s="8">
        <f t="shared" si="11"/>
        <v>4369.01</v>
      </c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</row>
    <row r="1310">
      <c r="A1310" s="54">
        <f t="shared" si="12"/>
        <v>45091</v>
      </c>
      <c r="B1310" s="8">
        <f t="shared" si="13"/>
        <v>529240975</v>
      </c>
      <c r="C1310" s="8">
        <f t="shared" si="14"/>
        <v>0.002671232877</v>
      </c>
      <c r="D1310" s="8">
        <v>4372.59</v>
      </c>
      <c r="E1310" s="8">
        <f t="shared" si="17"/>
        <v>0.0008194076003</v>
      </c>
      <c r="F1310" s="53">
        <v>4.994474864</v>
      </c>
      <c r="G1310" s="8">
        <f t="shared" si="16"/>
        <v>0.0001368349278</v>
      </c>
      <c r="H1310" s="8">
        <f t="shared" si="11"/>
        <v>4372.59</v>
      </c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</row>
    <row r="1311">
      <c r="A1311" s="54">
        <f t="shared" si="12"/>
        <v>45092</v>
      </c>
      <c r="B1311" s="8">
        <f t="shared" si="13"/>
        <v>530654700.9</v>
      </c>
      <c r="C1311" s="8">
        <f t="shared" si="14"/>
        <v>0.002671232877</v>
      </c>
      <c r="D1311" s="8">
        <v>4425.84</v>
      </c>
      <c r="E1311" s="8">
        <f t="shared" si="17"/>
        <v>0.01217813699</v>
      </c>
      <c r="F1311" s="53">
        <v>5.015983854</v>
      </c>
      <c r="G1311" s="8">
        <f t="shared" si="16"/>
        <v>0.0001374242152</v>
      </c>
      <c r="H1311" s="8">
        <f t="shared" si="11"/>
        <v>4425.84</v>
      </c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</row>
    <row r="1312">
      <c r="A1312" s="54">
        <f t="shared" si="12"/>
        <v>45093</v>
      </c>
      <c r="B1312" s="8">
        <f t="shared" si="13"/>
        <v>532072203.2</v>
      </c>
      <c r="C1312" s="8">
        <f t="shared" si="14"/>
        <v>0.002671232877</v>
      </c>
      <c r="D1312" s="8">
        <v>4409.59</v>
      </c>
      <c r="E1312" s="8">
        <f t="shared" si="17"/>
        <v>-0.003671619399</v>
      </c>
      <c r="F1312" s="53">
        <v>4.992978293</v>
      </c>
      <c r="G1312" s="8">
        <f t="shared" si="16"/>
        <v>0.0001367939258</v>
      </c>
      <c r="H1312" s="8">
        <f t="shared" si="11"/>
        <v>4409.59</v>
      </c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</row>
    <row r="1313">
      <c r="A1313" s="54">
        <f t="shared" si="12"/>
        <v>45094</v>
      </c>
      <c r="B1313" s="8">
        <f t="shared" si="13"/>
        <v>533493491.9</v>
      </c>
      <c r="C1313" s="8">
        <f t="shared" si="14"/>
        <v>0.002671232877</v>
      </c>
      <c r="D1313" s="8">
        <v>4409.59</v>
      </c>
      <c r="E1313" s="8">
        <f t="shared" si="17"/>
        <v>0</v>
      </c>
      <c r="F1313" s="53">
        <v>4.993530127</v>
      </c>
      <c r="G1313" s="8">
        <f t="shared" si="16"/>
        <v>0.0001368090446</v>
      </c>
      <c r="H1313" s="8">
        <f t="shared" si="11"/>
        <v>4409.59</v>
      </c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</row>
    <row r="1314">
      <c r="A1314" s="54">
        <f t="shared" si="12"/>
        <v>45095</v>
      </c>
      <c r="B1314" s="8">
        <f t="shared" si="13"/>
        <v>534918577.3</v>
      </c>
      <c r="C1314" s="8">
        <f t="shared" si="14"/>
        <v>0.002671232877</v>
      </c>
      <c r="D1314" s="8">
        <v>4409.59</v>
      </c>
      <c r="E1314" s="8">
        <f t="shared" si="17"/>
        <v>0</v>
      </c>
      <c r="F1314" s="53">
        <v>5.006701866</v>
      </c>
      <c r="G1314" s="8">
        <f t="shared" si="16"/>
        <v>0.0001371699141</v>
      </c>
      <c r="H1314" s="8">
        <f t="shared" si="11"/>
        <v>4409.59</v>
      </c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</row>
    <row r="1315">
      <c r="A1315" s="54">
        <f t="shared" si="12"/>
        <v>45096</v>
      </c>
      <c r="B1315" s="8">
        <f t="shared" si="13"/>
        <v>536347469.4</v>
      </c>
      <c r="C1315" s="8">
        <f t="shared" si="14"/>
        <v>0.002671232877</v>
      </c>
      <c r="D1315" s="8">
        <v>4409.59</v>
      </c>
      <c r="E1315" s="8">
        <f t="shared" si="17"/>
        <v>0</v>
      </c>
      <c r="F1315" s="53">
        <v>5.032842941</v>
      </c>
      <c r="G1315" s="8">
        <f t="shared" si="16"/>
        <v>0.000137886108</v>
      </c>
      <c r="H1315" s="8">
        <f t="shared" si="11"/>
        <v>4409.59</v>
      </c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</row>
    <row r="1316">
      <c r="A1316" s="54">
        <f t="shared" si="12"/>
        <v>45097</v>
      </c>
      <c r="B1316" s="8">
        <f t="shared" si="13"/>
        <v>537780178.4</v>
      </c>
      <c r="C1316" s="8">
        <f t="shared" si="14"/>
        <v>0.002671232877</v>
      </c>
      <c r="D1316" s="8">
        <v>4388.71</v>
      </c>
      <c r="E1316" s="8">
        <f t="shared" si="17"/>
        <v>-0.004735134105</v>
      </c>
      <c r="F1316" s="53">
        <v>4.947934123</v>
      </c>
      <c r="G1316" s="8">
        <f t="shared" si="16"/>
        <v>0.000135559839</v>
      </c>
      <c r="H1316" s="8">
        <f t="shared" si="11"/>
        <v>4388.71</v>
      </c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</row>
    <row r="1317">
      <c r="A1317" s="54">
        <f t="shared" si="12"/>
        <v>45098</v>
      </c>
      <c r="B1317" s="8">
        <f t="shared" si="13"/>
        <v>539216714.5</v>
      </c>
      <c r="C1317" s="8">
        <f t="shared" si="14"/>
        <v>0.002671232877</v>
      </c>
      <c r="D1317" s="8">
        <v>4365.69</v>
      </c>
      <c r="E1317" s="8">
        <f t="shared" si="17"/>
        <v>-0.005245277086</v>
      </c>
      <c r="F1317" s="53">
        <v>4.928553528</v>
      </c>
      <c r="G1317" s="8">
        <f t="shared" si="16"/>
        <v>0.0001350288638</v>
      </c>
      <c r="H1317" s="8">
        <f t="shared" si="11"/>
        <v>4365.69</v>
      </c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</row>
    <row r="1318">
      <c r="A1318" s="54">
        <f t="shared" si="12"/>
        <v>45099</v>
      </c>
      <c r="B1318" s="8">
        <f t="shared" si="13"/>
        <v>540657087.9</v>
      </c>
      <c r="C1318" s="8">
        <f t="shared" si="14"/>
        <v>0.002671232877</v>
      </c>
      <c r="D1318" s="8">
        <v>4381.89</v>
      </c>
      <c r="E1318" s="8">
        <f t="shared" si="17"/>
        <v>0.003710753627</v>
      </c>
      <c r="F1318" s="53">
        <v>4.995915624</v>
      </c>
      <c r="G1318" s="8">
        <f t="shared" si="16"/>
        <v>0.0001368744007</v>
      </c>
      <c r="H1318" s="8">
        <f t="shared" si="11"/>
        <v>4381.89</v>
      </c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</row>
    <row r="1319">
      <c r="A1319" s="54">
        <f t="shared" si="12"/>
        <v>45100</v>
      </c>
      <c r="B1319" s="8">
        <f t="shared" si="13"/>
        <v>542101308.9</v>
      </c>
      <c r="C1319" s="8">
        <f t="shared" si="14"/>
        <v>0.002671232877</v>
      </c>
      <c r="D1319" s="8">
        <v>4348.33</v>
      </c>
      <c r="E1319" s="8">
        <f t="shared" si="17"/>
        <v>-0.007658795634</v>
      </c>
      <c r="F1319" s="53">
        <v>5.016741832</v>
      </c>
      <c r="G1319" s="8">
        <f t="shared" si="16"/>
        <v>0.0001374449817</v>
      </c>
      <c r="H1319" s="8">
        <f t="shared" si="11"/>
        <v>4348.33</v>
      </c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</row>
    <row r="1320">
      <c r="A1320" s="54">
        <f t="shared" si="12"/>
        <v>45101</v>
      </c>
      <c r="B1320" s="8">
        <f t="shared" si="13"/>
        <v>543549387.7</v>
      </c>
      <c r="C1320" s="8">
        <f t="shared" si="14"/>
        <v>0.002671232877</v>
      </c>
      <c r="D1320" s="8">
        <v>4348.33</v>
      </c>
      <c r="E1320" s="8">
        <f t="shared" si="17"/>
        <v>0</v>
      </c>
      <c r="F1320" s="53">
        <v>5.098246835</v>
      </c>
      <c r="G1320" s="8">
        <f t="shared" si="16"/>
        <v>0.0001396779955</v>
      </c>
      <c r="H1320" s="8">
        <f t="shared" si="11"/>
        <v>4348.33</v>
      </c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</row>
    <row r="1321">
      <c r="A1321" s="54">
        <f t="shared" si="12"/>
        <v>45102</v>
      </c>
      <c r="B1321" s="8">
        <f t="shared" si="13"/>
        <v>545001334.7</v>
      </c>
      <c r="C1321" s="8">
        <f t="shared" si="14"/>
        <v>0.002671232877</v>
      </c>
      <c r="D1321" s="8">
        <v>4348.33</v>
      </c>
      <c r="E1321" s="8">
        <f t="shared" si="17"/>
        <v>0</v>
      </c>
      <c r="F1321" s="53">
        <v>5.101015866</v>
      </c>
      <c r="G1321" s="8">
        <f t="shared" si="16"/>
        <v>0.0001397538593</v>
      </c>
      <c r="H1321" s="8">
        <f t="shared" si="11"/>
        <v>4348.33</v>
      </c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</row>
    <row r="1322">
      <c r="A1322" s="54">
        <f t="shared" si="12"/>
        <v>45103</v>
      </c>
      <c r="B1322" s="8">
        <f t="shared" si="13"/>
        <v>546457160.2</v>
      </c>
      <c r="C1322" s="8">
        <f t="shared" si="14"/>
        <v>0.002671232877</v>
      </c>
      <c r="D1322" s="8">
        <v>4328.82</v>
      </c>
      <c r="E1322" s="8">
        <f t="shared" si="17"/>
        <v>-0.004486779982</v>
      </c>
      <c r="F1322" s="53">
        <v>5.012318355</v>
      </c>
      <c r="G1322" s="8">
        <f t="shared" si="16"/>
        <v>0.0001373237905</v>
      </c>
      <c r="H1322" s="8">
        <f t="shared" si="11"/>
        <v>4328.82</v>
      </c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</row>
    <row r="1323">
      <c r="A1323" s="54">
        <f t="shared" si="12"/>
        <v>45104</v>
      </c>
      <c r="B1323" s="8">
        <f t="shared" si="13"/>
        <v>547916874.5</v>
      </c>
      <c r="C1323" s="8">
        <f t="shared" si="14"/>
        <v>0.002671232877</v>
      </c>
      <c r="D1323" s="8">
        <v>4378.41</v>
      </c>
      <c r="E1323" s="8">
        <f t="shared" si="17"/>
        <v>0.01145577779</v>
      </c>
      <c r="F1323" s="53">
        <v>5.010405583</v>
      </c>
      <c r="G1323" s="8">
        <f t="shared" si="16"/>
        <v>0.0001372713858</v>
      </c>
      <c r="H1323" s="8">
        <f t="shared" si="11"/>
        <v>4378.41</v>
      </c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</row>
    <row r="1324">
      <c r="A1324" s="54">
        <f t="shared" si="12"/>
        <v>45105</v>
      </c>
      <c r="B1324" s="8">
        <f t="shared" si="13"/>
        <v>549380488.1</v>
      </c>
      <c r="C1324" s="8">
        <f t="shared" si="14"/>
        <v>0.002671232877</v>
      </c>
      <c r="D1324" s="8">
        <v>4376.86</v>
      </c>
      <c r="E1324" s="8">
        <f t="shared" si="17"/>
        <v>-0.0003540097889</v>
      </c>
      <c r="F1324" s="53">
        <v>4.929024325</v>
      </c>
      <c r="G1324" s="8">
        <f t="shared" si="16"/>
        <v>0.0001350417623</v>
      </c>
      <c r="H1324" s="8">
        <f t="shared" si="11"/>
        <v>4376.86</v>
      </c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</row>
    <row r="1325">
      <c r="A1325" s="54">
        <f t="shared" si="12"/>
        <v>45106</v>
      </c>
      <c r="B1325" s="8">
        <f t="shared" si="13"/>
        <v>550848011.3</v>
      </c>
      <c r="C1325" s="8">
        <f t="shared" si="14"/>
        <v>0.002671232877</v>
      </c>
      <c r="D1325" s="8">
        <v>4396.44</v>
      </c>
      <c r="E1325" s="8">
        <f t="shared" si="17"/>
        <v>0.004473526684</v>
      </c>
      <c r="F1325" s="53">
        <v>4.983010055</v>
      </c>
      <c r="G1325" s="8">
        <f t="shared" si="16"/>
        <v>0.0001365208234</v>
      </c>
      <c r="H1325" s="8">
        <f t="shared" si="11"/>
        <v>4396.44</v>
      </c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</row>
    <row r="1326">
      <c r="A1326" s="54">
        <f t="shared" si="12"/>
        <v>45107</v>
      </c>
      <c r="B1326" s="8">
        <f t="shared" si="13"/>
        <v>552319454.6</v>
      </c>
      <c r="C1326" s="8">
        <f t="shared" si="14"/>
        <v>0.002671232877</v>
      </c>
      <c r="D1326" s="8">
        <v>4450.38</v>
      </c>
      <c r="E1326" s="8">
        <f t="shared" si="17"/>
        <v>0.01226901766</v>
      </c>
      <c r="F1326" s="53">
        <v>4.949120367</v>
      </c>
      <c r="G1326" s="8">
        <f t="shared" si="16"/>
        <v>0.0001355923388</v>
      </c>
      <c r="H1326" s="8">
        <f t="shared" si="11"/>
        <v>4450.38</v>
      </c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</row>
    <row r="1327">
      <c r="A1327" s="54">
        <f t="shared" si="12"/>
        <v>45108</v>
      </c>
      <c r="B1327" s="8">
        <f t="shared" si="13"/>
        <v>553794828.5</v>
      </c>
      <c r="C1327" s="8">
        <f t="shared" si="14"/>
        <v>0.002671232877</v>
      </c>
      <c r="D1327" s="8">
        <v>4450.38</v>
      </c>
      <c r="E1327" s="8">
        <f t="shared" si="17"/>
        <v>0</v>
      </c>
      <c r="F1327" s="53">
        <v>4.929099279</v>
      </c>
      <c r="G1327" s="8">
        <f t="shared" si="16"/>
        <v>0.0001350438159</v>
      </c>
      <c r="H1327" s="8">
        <f t="shared" si="11"/>
        <v>4450.38</v>
      </c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</row>
    <row r="1328">
      <c r="A1328" s="54">
        <f t="shared" si="12"/>
        <v>45109</v>
      </c>
      <c r="B1328" s="8">
        <f t="shared" si="13"/>
        <v>555274143.5</v>
      </c>
      <c r="C1328" s="8">
        <f t="shared" si="14"/>
        <v>0.002671232877</v>
      </c>
      <c r="D1328" s="8">
        <v>4450.38</v>
      </c>
      <c r="E1328" s="8">
        <f t="shared" si="17"/>
        <v>0</v>
      </c>
      <c r="F1328" s="53">
        <v>4.993274351</v>
      </c>
      <c r="G1328" s="8">
        <f t="shared" si="16"/>
        <v>0.000136802037</v>
      </c>
      <c r="H1328" s="8">
        <f t="shared" si="11"/>
        <v>4450.38</v>
      </c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</row>
    <row r="1329">
      <c r="A1329" s="54">
        <f t="shared" si="12"/>
        <v>45110</v>
      </c>
      <c r="B1329" s="8">
        <f t="shared" si="13"/>
        <v>556757410</v>
      </c>
      <c r="C1329" s="8">
        <f t="shared" si="14"/>
        <v>0.002671232877</v>
      </c>
      <c r="D1329" s="8">
        <v>4455.59</v>
      </c>
      <c r="E1329" s="8">
        <f t="shared" si="17"/>
        <v>0.001170686548</v>
      </c>
      <c r="F1329" s="53">
        <v>5.018067518</v>
      </c>
      <c r="G1329" s="8">
        <f t="shared" si="16"/>
        <v>0.0001374813019</v>
      </c>
      <c r="H1329" s="8">
        <f t="shared" si="11"/>
        <v>4455.59</v>
      </c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</row>
    <row r="1330">
      <c r="A1330" s="54">
        <f t="shared" si="12"/>
        <v>45111</v>
      </c>
      <c r="B1330" s="8">
        <f t="shared" si="13"/>
        <v>558244638.7</v>
      </c>
      <c r="C1330" s="8">
        <f t="shared" si="14"/>
        <v>0.002671232877</v>
      </c>
      <c r="D1330" s="8">
        <v>4455.59</v>
      </c>
      <c r="E1330" s="8">
        <f t="shared" si="17"/>
        <v>0</v>
      </c>
      <c r="F1330" s="53">
        <v>4.999852016</v>
      </c>
      <c r="G1330" s="8">
        <f t="shared" si="16"/>
        <v>0.000136982247</v>
      </c>
      <c r="H1330" s="8">
        <f t="shared" si="11"/>
        <v>4455.59</v>
      </c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</row>
    <row r="1331">
      <c r="A1331" s="54">
        <f t="shared" si="12"/>
        <v>45112</v>
      </c>
      <c r="B1331" s="8">
        <f t="shared" si="13"/>
        <v>559735840.1</v>
      </c>
      <c r="C1331" s="8">
        <f t="shared" si="14"/>
        <v>0.002671232877</v>
      </c>
      <c r="D1331" s="8">
        <v>4446.82</v>
      </c>
      <c r="E1331" s="8">
        <f t="shared" si="17"/>
        <v>-0.001968313961</v>
      </c>
      <c r="F1331" s="53">
        <v>5.023438801</v>
      </c>
      <c r="G1331" s="8">
        <f t="shared" si="16"/>
        <v>0.0001376284603</v>
      </c>
      <c r="H1331" s="8">
        <f t="shared" si="11"/>
        <v>4446.82</v>
      </c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</row>
    <row r="1332">
      <c r="A1332" s="54">
        <f t="shared" si="12"/>
        <v>45113</v>
      </c>
      <c r="B1332" s="8">
        <f t="shared" si="13"/>
        <v>561231024.9</v>
      </c>
      <c r="C1332" s="8">
        <f t="shared" si="14"/>
        <v>0.002671232877</v>
      </c>
      <c r="D1332" s="8">
        <v>4411.59</v>
      </c>
      <c r="E1332" s="8">
        <f t="shared" si="17"/>
        <v>-0.007922515416</v>
      </c>
      <c r="F1332" s="53">
        <v>4.929824029</v>
      </c>
      <c r="G1332" s="8">
        <f t="shared" si="16"/>
        <v>0.000135063672</v>
      </c>
      <c r="H1332" s="8">
        <f t="shared" si="11"/>
        <v>4411.59</v>
      </c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</row>
    <row r="1333">
      <c r="A1333" s="54">
        <f t="shared" si="12"/>
        <v>45114</v>
      </c>
      <c r="B1333" s="8">
        <f t="shared" si="13"/>
        <v>562730203.7</v>
      </c>
      <c r="C1333" s="8">
        <f t="shared" si="14"/>
        <v>0.002671232877</v>
      </c>
      <c r="D1333" s="8">
        <v>4398.95</v>
      </c>
      <c r="E1333" s="8">
        <f t="shared" si="17"/>
        <v>-0.002865180128</v>
      </c>
      <c r="F1333" s="53">
        <v>4.999795369</v>
      </c>
      <c r="G1333" s="8">
        <f t="shared" si="16"/>
        <v>0.000136980695</v>
      </c>
      <c r="H1333" s="8">
        <f t="shared" si="11"/>
        <v>4398.95</v>
      </c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</row>
    <row r="1334">
      <c r="A1334" s="54">
        <f t="shared" si="12"/>
        <v>45115</v>
      </c>
      <c r="B1334" s="8">
        <f t="shared" si="13"/>
        <v>564233387.1</v>
      </c>
      <c r="C1334" s="8">
        <f t="shared" si="14"/>
        <v>0.002671232877</v>
      </c>
      <c r="D1334" s="8">
        <v>4398.95</v>
      </c>
      <c r="E1334" s="8">
        <f t="shared" si="17"/>
        <v>0</v>
      </c>
      <c r="F1334" s="53">
        <v>4.943031681</v>
      </c>
      <c r="G1334" s="8">
        <f t="shared" si="16"/>
        <v>0.0001354255255</v>
      </c>
      <c r="H1334" s="8">
        <f t="shared" si="11"/>
        <v>4398.95</v>
      </c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</row>
    <row r="1335">
      <c r="A1335" s="54">
        <f t="shared" si="12"/>
        <v>45116</v>
      </c>
      <c r="B1335" s="8">
        <f t="shared" si="13"/>
        <v>565740585.9</v>
      </c>
      <c r="C1335" s="8">
        <f t="shared" si="14"/>
        <v>0.002671232877</v>
      </c>
      <c r="D1335" s="8">
        <v>4398.95</v>
      </c>
      <c r="E1335" s="8">
        <f t="shared" si="17"/>
        <v>0</v>
      </c>
      <c r="F1335" s="53">
        <v>4.999582617</v>
      </c>
      <c r="G1335" s="8">
        <f t="shared" si="16"/>
        <v>0.0001369748662</v>
      </c>
      <c r="H1335" s="8">
        <f t="shared" si="11"/>
        <v>4398.95</v>
      </c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</row>
    <row r="1336">
      <c r="A1336" s="54">
        <f t="shared" si="12"/>
        <v>45117</v>
      </c>
      <c r="B1336" s="8">
        <f t="shared" si="13"/>
        <v>567251810.7</v>
      </c>
      <c r="C1336" s="8">
        <f t="shared" si="14"/>
        <v>0.002671232877</v>
      </c>
      <c r="D1336" s="8">
        <v>4409.53</v>
      </c>
      <c r="E1336" s="8">
        <f t="shared" si="17"/>
        <v>0.002405119403</v>
      </c>
      <c r="F1336" s="53">
        <v>5.013388913</v>
      </c>
      <c r="G1336" s="8">
        <f t="shared" si="16"/>
        <v>0.0001373531209</v>
      </c>
      <c r="H1336" s="8">
        <f t="shared" si="11"/>
        <v>4409.53</v>
      </c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</row>
    <row r="1337">
      <c r="A1337" s="54">
        <f t="shared" si="12"/>
        <v>45118</v>
      </c>
      <c r="B1337" s="8">
        <f t="shared" si="13"/>
        <v>568767072.4</v>
      </c>
      <c r="C1337" s="8">
        <f t="shared" si="14"/>
        <v>0.002671232877</v>
      </c>
      <c r="D1337" s="8">
        <v>4439.26</v>
      </c>
      <c r="E1337" s="8">
        <f t="shared" si="17"/>
        <v>0.006742215157</v>
      </c>
      <c r="F1337" s="53">
        <v>4.982646854</v>
      </c>
      <c r="G1337" s="8">
        <f t="shared" si="16"/>
        <v>0.0001365108727</v>
      </c>
      <c r="H1337" s="8">
        <f t="shared" si="11"/>
        <v>4439.26</v>
      </c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</row>
    <row r="1338">
      <c r="A1338" s="54">
        <f t="shared" si="12"/>
        <v>45119</v>
      </c>
      <c r="B1338" s="8">
        <f t="shared" si="13"/>
        <v>570286381.7</v>
      </c>
      <c r="C1338" s="8">
        <f t="shared" si="14"/>
        <v>0.002671232877</v>
      </c>
      <c r="D1338" s="8">
        <v>4472.16</v>
      </c>
      <c r="E1338" s="8">
        <f t="shared" si="17"/>
        <v>0.007411145101</v>
      </c>
      <c r="F1338" s="53">
        <v>5.034172714</v>
      </c>
      <c r="G1338" s="8">
        <f t="shared" si="16"/>
        <v>0.0001379225401</v>
      </c>
      <c r="H1338" s="8">
        <f t="shared" si="11"/>
        <v>4472.16</v>
      </c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</row>
    <row r="1339">
      <c r="A1339" s="54">
        <f t="shared" si="12"/>
        <v>45120</v>
      </c>
      <c r="B1339" s="8">
        <f t="shared" si="13"/>
        <v>571809749.4</v>
      </c>
      <c r="C1339" s="8">
        <f t="shared" si="14"/>
        <v>0.002671232877</v>
      </c>
      <c r="D1339" s="8">
        <v>4510.04</v>
      </c>
      <c r="E1339" s="8">
        <f t="shared" si="17"/>
        <v>0.008470179958</v>
      </c>
      <c r="F1339" s="53">
        <v>4.940233267</v>
      </c>
      <c r="G1339" s="8">
        <f t="shared" si="16"/>
        <v>0.0001353488566</v>
      </c>
      <c r="H1339" s="8">
        <f t="shared" si="11"/>
        <v>4510.04</v>
      </c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</row>
    <row r="1340">
      <c r="A1340" s="54">
        <f t="shared" si="12"/>
        <v>45121</v>
      </c>
      <c r="B1340" s="8">
        <f t="shared" si="13"/>
        <v>573337186.5</v>
      </c>
      <c r="C1340" s="8">
        <f t="shared" si="14"/>
        <v>0.002671232877</v>
      </c>
      <c r="D1340" s="8">
        <v>4505.42</v>
      </c>
      <c r="E1340" s="8">
        <f t="shared" si="17"/>
        <v>-0.001024381158</v>
      </c>
      <c r="F1340" s="53">
        <v>5.055744705</v>
      </c>
      <c r="G1340" s="8">
        <f t="shared" si="16"/>
        <v>0.0001385135536</v>
      </c>
      <c r="H1340" s="8">
        <f t="shared" si="11"/>
        <v>4505.42</v>
      </c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</row>
    <row r="1341">
      <c r="A1341" s="54">
        <f t="shared" si="12"/>
        <v>45122</v>
      </c>
      <c r="B1341" s="8">
        <f t="shared" si="13"/>
        <v>574868703.6</v>
      </c>
      <c r="C1341" s="8">
        <f t="shared" si="14"/>
        <v>0.002671232877</v>
      </c>
      <c r="D1341" s="8">
        <v>4505.42</v>
      </c>
      <c r="E1341" s="8">
        <f t="shared" si="17"/>
        <v>0</v>
      </c>
      <c r="F1341" s="53">
        <v>4.990518589</v>
      </c>
      <c r="G1341" s="8">
        <f t="shared" si="16"/>
        <v>0.0001367265367</v>
      </c>
      <c r="H1341" s="8">
        <f t="shared" si="11"/>
        <v>4505.42</v>
      </c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</row>
    <row r="1342">
      <c r="A1342" s="54">
        <f t="shared" si="12"/>
        <v>45123</v>
      </c>
      <c r="B1342" s="8">
        <f t="shared" si="13"/>
        <v>576404311.8</v>
      </c>
      <c r="C1342" s="8">
        <f t="shared" si="14"/>
        <v>0.002671232877</v>
      </c>
      <c r="D1342" s="8">
        <v>4505.42</v>
      </c>
      <c r="E1342" s="8">
        <f t="shared" si="17"/>
        <v>0</v>
      </c>
      <c r="F1342" s="53">
        <v>4.96587699</v>
      </c>
      <c r="G1342" s="8">
        <f t="shared" si="16"/>
        <v>0.0001360514244</v>
      </c>
      <c r="H1342" s="8">
        <f t="shared" si="11"/>
        <v>4505.42</v>
      </c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</row>
    <row r="1343">
      <c r="A1343" s="54">
        <f t="shared" si="12"/>
        <v>45124</v>
      </c>
      <c r="B1343" s="8">
        <f t="shared" si="13"/>
        <v>577944021.9</v>
      </c>
      <c r="C1343" s="8">
        <f t="shared" si="14"/>
        <v>0.002671232877</v>
      </c>
      <c r="D1343" s="8">
        <v>4522.79</v>
      </c>
      <c r="E1343" s="8">
        <f t="shared" si="17"/>
        <v>0.003855356437</v>
      </c>
      <c r="F1343" s="53">
        <v>4.979208098</v>
      </c>
      <c r="G1343" s="8">
        <f t="shared" si="16"/>
        <v>0.0001364166602</v>
      </c>
      <c r="H1343" s="8">
        <f t="shared" si="11"/>
        <v>4522.79</v>
      </c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</row>
    <row r="1344">
      <c r="A1344" s="54">
        <f t="shared" si="12"/>
        <v>45125</v>
      </c>
      <c r="B1344" s="8">
        <f t="shared" si="13"/>
        <v>579487845</v>
      </c>
      <c r="C1344" s="8">
        <f t="shared" si="14"/>
        <v>0.002671232877</v>
      </c>
      <c r="D1344" s="8">
        <v>4554.98</v>
      </c>
      <c r="E1344" s="8">
        <f t="shared" si="17"/>
        <v>0.007117288223</v>
      </c>
      <c r="F1344" s="53">
        <v>4.961300652</v>
      </c>
      <c r="G1344" s="8">
        <f t="shared" si="16"/>
        <v>0.0001359260453</v>
      </c>
      <c r="H1344" s="8">
        <f t="shared" si="11"/>
        <v>4554.98</v>
      </c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</row>
    <row r="1345">
      <c r="A1345" s="54">
        <f t="shared" si="12"/>
        <v>45126</v>
      </c>
      <c r="B1345" s="8">
        <f t="shared" si="13"/>
        <v>581035792</v>
      </c>
      <c r="C1345" s="8">
        <f t="shared" si="14"/>
        <v>0.002671232877</v>
      </c>
      <c r="D1345" s="8">
        <v>4565.72</v>
      </c>
      <c r="E1345" s="8">
        <f t="shared" si="17"/>
        <v>0.002357858871</v>
      </c>
      <c r="F1345" s="53">
        <v>5.009087112</v>
      </c>
      <c r="G1345" s="8">
        <f t="shared" si="16"/>
        <v>0.0001372352633</v>
      </c>
      <c r="H1345" s="8">
        <f t="shared" si="11"/>
        <v>4565.72</v>
      </c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</row>
    <row r="1346">
      <c r="A1346" s="54">
        <f t="shared" si="12"/>
        <v>45127</v>
      </c>
      <c r="B1346" s="8">
        <f t="shared" si="13"/>
        <v>582587873.9</v>
      </c>
      <c r="C1346" s="8">
        <f t="shared" si="14"/>
        <v>0.002671232877</v>
      </c>
      <c r="D1346" s="8">
        <v>4534.87</v>
      </c>
      <c r="E1346" s="8">
        <f t="shared" si="17"/>
        <v>-0.006756875148</v>
      </c>
      <c r="F1346" s="53">
        <v>4.994260031</v>
      </c>
      <c r="G1346" s="8">
        <f t="shared" si="16"/>
        <v>0.0001368290419</v>
      </c>
      <c r="H1346" s="8">
        <f t="shared" si="11"/>
        <v>4534.87</v>
      </c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</row>
    <row r="1347">
      <c r="A1347" s="54">
        <f t="shared" si="12"/>
        <v>45128</v>
      </c>
      <c r="B1347" s="8">
        <f t="shared" si="13"/>
        <v>584144101.8</v>
      </c>
      <c r="C1347" s="8">
        <f t="shared" si="14"/>
        <v>0.002671232877</v>
      </c>
      <c r="D1347" s="8">
        <v>4536.34</v>
      </c>
      <c r="E1347" s="8">
        <f t="shared" si="17"/>
        <v>0.0003241548269</v>
      </c>
      <c r="F1347" s="53">
        <v>5.014750178</v>
      </c>
      <c r="G1347" s="8">
        <f t="shared" si="16"/>
        <v>0.0001373904158</v>
      </c>
      <c r="H1347" s="8">
        <f t="shared" si="11"/>
        <v>4536.34</v>
      </c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</row>
    <row r="1348">
      <c r="A1348" s="54">
        <f t="shared" si="12"/>
        <v>45129</v>
      </c>
      <c r="B1348" s="8">
        <f t="shared" si="13"/>
        <v>585704486.7</v>
      </c>
      <c r="C1348" s="8">
        <f t="shared" si="14"/>
        <v>0.002671232877</v>
      </c>
      <c r="D1348" s="8">
        <v>4536.34</v>
      </c>
      <c r="E1348" s="8">
        <f t="shared" si="17"/>
        <v>0</v>
      </c>
      <c r="F1348" s="53">
        <v>4.961038</v>
      </c>
      <c r="G1348" s="8">
        <f t="shared" si="16"/>
        <v>0.0001359188493</v>
      </c>
      <c r="H1348" s="8">
        <f t="shared" si="11"/>
        <v>4536.34</v>
      </c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</row>
    <row r="1349">
      <c r="A1349" s="54">
        <f t="shared" si="12"/>
        <v>45130</v>
      </c>
      <c r="B1349" s="8">
        <f t="shared" si="13"/>
        <v>587269039.8</v>
      </c>
      <c r="C1349" s="8">
        <f t="shared" si="14"/>
        <v>0.002671232877</v>
      </c>
      <c r="D1349" s="8">
        <v>4536.34</v>
      </c>
      <c r="E1349" s="8">
        <f t="shared" si="17"/>
        <v>0</v>
      </c>
      <c r="F1349" s="53">
        <v>5.002620067</v>
      </c>
      <c r="G1349" s="8">
        <f t="shared" si="16"/>
        <v>0.000137058084</v>
      </c>
      <c r="H1349" s="8">
        <f t="shared" si="11"/>
        <v>4536.34</v>
      </c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</row>
    <row r="1350">
      <c r="A1350" s="54">
        <f t="shared" si="12"/>
        <v>45131</v>
      </c>
      <c r="B1350" s="8">
        <f t="shared" si="13"/>
        <v>588837772.1</v>
      </c>
      <c r="C1350" s="8">
        <f t="shared" si="14"/>
        <v>0.002671232877</v>
      </c>
      <c r="D1350" s="8">
        <v>4554.64</v>
      </c>
      <c r="E1350" s="8">
        <f t="shared" si="17"/>
        <v>0.004034089156</v>
      </c>
      <c r="F1350" s="53">
        <v>5.004453543</v>
      </c>
      <c r="G1350" s="8">
        <f t="shared" si="16"/>
        <v>0.0001371083162</v>
      </c>
      <c r="H1350" s="8">
        <f t="shared" si="11"/>
        <v>4554.64</v>
      </c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</row>
    <row r="1351">
      <c r="A1351" s="54">
        <f t="shared" si="12"/>
        <v>45132</v>
      </c>
      <c r="B1351" s="8">
        <f t="shared" si="13"/>
        <v>590410695</v>
      </c>
      <c r="C1351" s="8">
        <f t="shared" si="14"/>
        <v>0.002671232877</v>
      </c>
      <c r="D1351" s="8">
        <v>4567.46</v>
      </c>
      <c r="E1351" s="8">
        <f t="shared" si="17"/>
        <v>0.00281471203</v>
      </c>
      <c r="F1351" s="53">
        <v>4.922788445</v>
      </c>
      <c r="G1351" s="8">
        <f t="shared" si="16"/>
        <v>0.0001348709163</v>
      </c>
      <c r="H1351" s="8">
        <f t="shared" si="11"/>
        <v>4567.46</v>
      </c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</row>
    <row r="1352">
      <c r="A1352" s="54">
        <f t="shared" si="12"/>
        <v>45133</v>
      </c>
      <c r="B1352" s="8">
        <f t="shared" si="13"/>
        <v>591987819.4</v>
      </c>
      <c r="C1352" s="8">
        <f t="shared" si="14"/>
        <v>0.002671232877</v>
      </c>
      <c r="D1352" s="8">
        <v>4566.75</v>
      </c>
      <c r="E1352" s="8">
        <f t="shared" si="17"/>
        <v>-0.0001554474478</v>
      </c>
      <c r="F1352" s="53">
        <v>5.012053289</v>
      </c>
      <c r="G1352" s="8">
        <f t="shared" si="16"/>
        <v>0.0001373165285</v>
      </c>
      <c r="H1352" s="8">
        <f t="shared" si="11"/>
        <v>4566.75</v>
      </c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</row>
    <row r="1353">
      <c r="A1353" s="54">
        <f t="shared" si="12"/>
        <v>45134</v>
      </c>
      <c r="B1353" s="8">
        <f t="shared" si="13"/>
        <v>593569156.7</v>
      </c>
      <c r="C1353" s="8">
        <f t="shared" si="14"/>
        <v>0.002671232877</v>
      </c>
      <c r="D1353" s="8">
        <v>4537.41</v>
      </c>
      <c r="E1353" s="8">
        <f t="shared" si="17"/>
        <v>-0.006424700279</v>
      </c>
      <c r="F1353" s="53">
        <v>5.002507579</v>
      </c>
      <c r="G1353" s="8">
        <f t="shared" si="16"/>
        <v>0.0001370550022</v>
      </c>
      <c r="H1353" s="8">
        <f t="shared" si="11"/>
        <v>4537.41</v>
      </c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</row>
    <row r="1354">
      <c r="A1354" s="54">
        <f t="shared" si="12"/>
        <v>45135</v>
      </c>
      <c r="B1354" s="8">
        <f t="shared" si="13"/>
        <v>595154718.2</v>
      </c>
      <c r="C1354" s="8">
        <f t="shared" si="14"/>
        <v>0.002671232877</v>
      </c>
      <c r="D1354" s="8">
        <v>4588.96</v>
      </c>
      <c r="E1354" s="8">
        <f t="shared" si="17"/>
        <v>0.01136110689</v>
      </c>
      <c r="F1354" s="53">
        <v>4.894594675</v>
      </c>
      <c r="G1354" s="8">
        <f t="shared" si="16"/>
        <v>0.0001340984842</v>
      </c>
      <c r="H1354" s="8">
        <f t="shared" si="11"/>
        <v>4588.96</v>
      </c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</row>
    <row r="1355">
      <c r="A1355" s="54">
        <f t="shared" si="12"/>
        <v>45136</v>
      </c>
      <c r="B1355" s="8">
        <f t="shared" si="13"/>
        <v>596744515</v>
      </c>
      <c r="C1355" s="8">
        <f t="shared" si="14"/>
        <v>0.002671232877</v>
      </c>
      <c r="D1355" s="8">
        <v>4588.96</v>
      </c>
      <c r="E1355" s="8">
        <f t="shared" si="17"/>
        <v>0</v>
      </c>
      <c r="F1355" s="53">
        <v>5.035635314</v>
      </c>
      <c r="G1355" s="8">
        <f t="shared" si="16"/>
        <v>0.0001379626113</v>
      </c>
      <c r="H1355" s="8">
        <f t="shared" si="11"/>
        <v>4588.96</v>
      </c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</row>
    <row r="1356">
      <c r="A1356" s="54">
        <f t="shared" si="12"/>
        <v>45137</v>
      </c>
      <c r="B1356" s="8">
        <f t="shared" si="13"/>
        <v>598338558.6</v>
      </c>
      <c r="C1356" s="8">
        <f t="shared" si="14"/>
        <v>0.002671232877</v>
      </c>
      <c r="D1356" s="8">
        <v>4588.96</v>
      </c>
      <c r="E1356" s="8">
        <f t="shared" si="17"/>
        <v>0</v>
      </c>
      <c r="F1356" s="53">
        <v>5.011532319</v>
      </c>
      <c r="G1356" s="8">
        <f t="shared" si="16"/>
        <v>0.0001373022553</v>
      </c>
      <c r="H1356" s="8">
        <f t="shared" si="11"/>
        <v>4588.96</v>
      </c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</row>
    <row r="1357">
      <c r="A1357" s="54">
        <f t="shared" si="12"/>
        <v>45138</v>
      </c>
      <c r="B1357" s="8">
        <f t="shared" si="13"/>
        <v>599936860.2</v>
      </c>
      <c r="C1357" s="8">
        <f t="shared" si="14"/>
        <v>0.002671232877</v>
      </c>
      <c r="D1357" s="8">
        <v>4588.96</v>
      </c>
      <c r="E1357" s="8">
        <f t="shared" si="17"/>
        <v>0</v>
      </c>
      <c r="F1357" s="53">
        <v>5.024386099</v>
      </c>
      <c r="G1357" s="8">
        <f t="shared" si="16"/>
        <v>0.0001376544137</v>
      </c>
      <c r="H1357" s="8">
        <f t="shared" si="11"/>
        <v>4588.96</v>
      </c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</row>
    <row r="1358">
      <c r="A1358" s="54">
        <f t="shared" si="12"/>
        <v>45139</v>
      </c>
      <c r="B1358" s="8">
        <f t="shared" si="13"/>
        <v>601539431.3</v>
      </c>
      <c r="C1358" s="8">
        <f t="shared" si="14"/>
        <v>0.002671232877</v>
      </c>
      <c r="D1358" s="8">
        <v>4576.73</v>
      </c>
      <c r="E1358" s="8">
        <f t="shared" si="17"/>
        <v>-0.002665091873</v>
      </c>
      <c r="F1358" s="53">
        <v>5.01163467</v>
      </c>
      <c r="G1358" s="8">
        <f t="shared" si="16"/>
        <v>0.0001373050595</v>
      </c>
      <c r="H1358" s="8">
        <f t="shared" si="11"/>
        <v>4576.73</v>
      </c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</row>
    <row r="1359">
      <c r="A1359" s="54">
        <f t="shared" si="12"/>
        <v>45140</v>
      </c>
      <c r="B1359" s="8">
        <f t="shared" si="13"/>
        <v>603146283.2</v>
      </c>
      <c r="C1359" s="8">
        <f t="shared" si="14"/>
        <v>0.002671232877</v>
      </c>
      <c r="D1359" s="8">
        <v>4513.39</v>
      </c>
      <c r="E1359" s="8">
        <f t="shared" si="17"/>
        <v>-0.01383957542</v>
      </c>
      <c r="F1359" s="53">
        <v>5.007953696</v>
      </c>
      <c r="G1359" s="8">
        <f t="shared" si="16"/>
        <v>0.0001372042108</v>
      </c>
      <c r="H1359" s="8">
        <f t="shared" si="11"/>
        <v>4513.39</v>
      </c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</row>
    <row r="1360">
      <c r="A1360" s="54">
        <f t="shared" si="12"/>
        <v>45141</v>
      </c>
      <c r="B1360" s="8">
        <f t="shared" si="13"/>
        <v>604757427.4</v>
      </c>
      <c r="C1360" s="8">
        <f t="shared" si="14"/>
        <v>0.002671232877</v>
      </c>
      <c r="D1360" s="8">
        <v>4501.89</v>
      </c>
      <c r="E1360" s="8">
        <f t="shared" si="17"/>
        <v>-0.002547973918</v>
      </c>
      <c r="F1360" s="53">
        <v>5.02009522</v>
      </c>
      <c r="G1360" s="8">
        <f t="shared" si="16"/>
        <v>0.0001375368553</v>
      </c>
      <c r="H1360" s="8">
        <f t="shared" si="11"/>
        <v>4501.89</v>
      </c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</row>
    <row r="1361">
      <c r="A1361" s="54">
        <f t="shared" si="12"/>
        <v>45142</v>
      </c>
      <c r="B1361" s="8">
        <f t="shared" si="13"/>
        <v>606372875.3</v>
      </c>
      <c r="C1361" s="8">
        <f t="shared" si="14"/>
        <v>0.002671232877</v>
      </c>
      <c r="D1361" s="8">
        <v>4478.03</v>
      </c>
      <c r="E1361" s="8">
        <f t="shared" si="17"/>
        <v>-0.005299996224</v>
      </c>
      <c r="F1361" s="53">
        <v>4.987760654</v>
      </c>
      <c r="G1361" s="8">
        <f t="shared" si="16"/>
        <v>0.0001366509768</v>
      </c>
      <c r="H1361" s="8">
        <f t="shared" si="11"/>
        <v>4478.03</v>
      </c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</row>
    <row r="1362">
      <c r="A1362" s="54">
        <f t="shared" si="12"/>
        <v>45143</v>
      </c>
      <c r="B1362" s="8">
        <f t="shared" si="13"/>
        <v>607992638.5</v>
      </c>
      <c r="C1362" s="8">
        <f t="shared" si="14"/>
        <v>0.002671232877</v>
      </c>
      <c r="D1362" s="8">
        <v>4478.03</v>
      </c>
      <c r="E1362" s="8">
        <f t="shared" si="17"/>
        <v>0</v>
      </c>
      <c r="F1362" s="53">
        <v>4.907124017</v>
      </c>
      <c r="G1362" s="8">
        <f t="shared" si="16"/>
        <v>0.0001344417539</v>
      </c>
      <c r="H1362" s="8">
        <f t="shared" si="11"/>
        <v>4478.03</v>
      </c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</row>
    <row r="1363">
      <c r="A1363" s="54">
        <f t="shared" si="12"/>
        <v>45144</v>
      </c>
      <c r="B1363" s="8">
        <f t="shared" si="13"/>
        <v>609616728.4</v>
      </c>
      <c r="C1363" s="8">
        <f t="shared" si="14"/>
        <v>0.002671232877</v>
      </c>
      <c r="D1363" s="8">
        <v>4478.03</v>
      </c>
      <c r="E1363" s="8">
        <f t="shared" si="17"/>
        <v>0</v>
      </c>
      <c r="F1363" s="53">
        <v>5.018895533</v>
      </c>
      <c r="G1363" s="8">
        <f t="shared" si="16"/>
        <v>0.0001375039872</v>
      </c>
      <c r="H1363" s="8">
        <f t="shared" si="11"/>
        <v>4478.03</v>
      </c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</row>
    <row r="1364">
      <c r="A1364" s="54">
        <f t="shared" si="12"/>
        <v>45145</v>
      </c>
      <c r="B1364" s="8">
        <f t="shared" si="13"/>
        <v>611245156.6</v>
      </c>
      <c r="C1364" s="8">
        <f t="shared" si="14"/>
        <v>0.002671232877</v>
      </c>
      <c r="D1364" s="8">
        <v>4518.44</v>
      </c>
      <c r="E1364" s="8">
        <f t="shared" si="17"/>
        <v>0.009024057454</v>
      </c>
      <c r="F1364" s="53">
        <v>4.914380247</v>
      </c>
      <c r="G1364" s="8">
        <f t="shared" si="16"/>
        <v>0.0001346405547</v>
      </c>
      <c r="H1364" s="8">
        <f t="shared" si="11"/>
        <v>4518.44</v>
      </c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</row>
    <row r="1365">
      <c r="A1365" s="54">
        <f t="shared" si="12"/>
        <v>45146</v>
      </c>
      <c r="B1365" s="8">
        <f t="shared" si="13"/>
        <v>612877934.8</v>
      </c>
      <c r="C1365" s="8">
        <f t="shared" si="14"/>
        <v>0.002671232877</v>
      </c>
      <c r="D1365" s="8">
        <v>4499.38</v>
      </c>
      <c r="E1365" s="8">
        <f t="shared" si="17"/>
        <v>-0.004218270022</v>
      </c>
      <c r="F1365" s="53">
        <v>4.89011069</v>
      </c>
      <c r="G1365" s="8">
        <f t="shared" si="16"/>
        <v>0.0001339756353</v>
      </c>
      <c r="H1365" s="8">
        <f t="shared" si="11"/>
        <v>4499.38</v>
      </c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</row>
    <row r="1366">
      <c r="A1366" s="54">
        <f t="shared" si="12"/>
        <v>45147</v>
      </c>
      <c r="B1366" s="8">
        <f t="shared" si="13"/>
        <v>614515074.5</v>
      </c>
      <c r="C1366" s="8">
        <f t="shared" si="14"/>
        <v>0.002671232877</v>
      </c>
      <c r="D1366" s="8">
        <v>4467.71</v>
      </c>
      <c r="E1366" s="8">
        <f t="shared" si="17"/>
        <v>-0.007038747561</v>
      </c>
      <c r="F1366" s="53">
        <v>5.024204756</v>
      </c>
      <c r="G1366" s="8">
        <f t="shared" si="16"/>
        <v>0.0001376494454</v>
      </c>
      <c r="H1366" s="8">
        <f t="shared" si="11"/>
        <v>4467.71</v>
      </c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</row>
    <row r="1367">
      <c r="A1367" s="54">
        <f t="shared" si="12"/>
        <v>45148</v>
      </c>
      <c r="B1367" s="8">
        <f t="shared" si="13"/>
        <v>616156587.4</v>
      </c>
      <c r="C1367" s="8">
        <f t="shared" si="14"/>
        <v>0.002671232877</v>
      </c>
      <c r="D1367" s="8">
        <v>4468.83</v>
      </c>
      <c r="E1367" s="8">
        <f t="shared" si="17"/>
        <v>0.0002506877125</v>
      </c>
      <c r="F1367" s="53">
        <v>5.028425403</v>
      </c>
      <c r="G1367" s="8">
        <f t="shared" si="16"/>
        <v>0.0001377650795</v>
      </c>
      <c r="H1367" s="8">
        <f t="shared" si="11"/>
        <v>4468.83</v>
      </c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</row>
    <row r="1368">
      <c r="A1368" s="54">
        <f t="shared" si="12"/>
        <v>45149</v>
      </c>
      <c r="B1368" s="8">
        <f t="shared" si="13"/>
        <v>617802485.1</v>
      </c>
      <c r="C1368" s="8">
        <f t="shared" si="14"/>
        <v>0.002671232877</v>
      </c>
      <c r="D1368" s="8">
        <v>4464.05</v>
      </c>
      <c r="E1368" s="8">
        <f t="shared" si="17"/>
        <v>-0.001069631201</v>
      </c>
      <c r="F1368" s="53">
        <v>4.950277467</v>
      </c>
      <c r="G1368" s="8">
        <f t="shared" si="16"/>
        <v>0.0001356240402</v>
      </c>
      <c r="H1368" s="8">
        <f t="shared" si="11"/>
        <v>4464.05</v>
      </c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</row>
    <row r="1369">
      <c r="A1369" s="54">
        <f t="shared" si="12"/>
        <v>45150</v>
      </c>
      <c r="B1369" s="8">
        <f t="shared" si="13"/>
        <v>619452779.4</v>
      </c>
      <c r="C1369" s="8">
        <f t="shared" si="14"/>
        <v>0.002671232877</v>
      </c>
      <c r="D1369" s="8">
        <v>4464.05</v>
      </c>
      <c r="E1369" s="8">
        <f t="shared" si="17"/>
        <v>0</v>
      </c>
      <c r="F1369" s="53">
        <v>5.062786505</v>
      </c>
      <c r="G1369" s="8">
        <f t="shared" si="16"/>
        <v>0.0001387064796</v>
      </c>
      <c r="H1369" s="8">
        <f t="shared" si="11"/>
        <v>4464.05</v>
      </c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</row>
    <row r="1370">
      <c r="A1370" s="54">
        <f t="shared" si="12"/>
        <v>45151</v>
      </c>
      <c r="B1370" s="8">
        <f t="shared" si="13"/>
        <v>621107482</v>
      </c>
      <c r="C1370" s="8">
        <f t="shared" si="14"/>
        <v>0.002671232877</v>
      </c>
      <c r="D1370" s="8">
        <v>4464.05</v>
      </c>
      <c r="E1370" s="8">
        <f t="shared" si="17"/>
        <v>0</v>
      </c>
      <c r="F1370" s="53">
        <v>5.076808097</v>
      </c>
      <c r="G1370" s="8">
        <f t="shared" si="16"/>
        <v>0.0001390906328</v>
      </c>
      <c r="H1370" s="8">
        <f t="shared" si="11"/>
        <v>4464.05</v>
      </c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</row>
    <row r="1371">
      <c r="A1371" s="54">
        <f t="shared" si="12"/>
        <v>45152</v>
      </c>
      <c r="B1371" s="8">
        <f t="shared" si="13"/>
        <v>622766604.8</v>
      </c>
      <c r="C1371" s="8">
        <f t="shared" si="14"/>
        <v>0.002671232877</v>
      </c>
      <c r="D1371" s="8">
        <v>4489.72</v>
      </c>
      <c r="E1371" s="8">
        <f t="shared" si="17"/>
        <v>0.00575038362</v>
      </c>
      <c r="F1371" s="53">
        <v>4.923836048</v>
      </c>
      <c r="G1371" s="8">
        <f t="shared" si="16"/>
        <v>0.0001348996178</v>
      </c>
      <c r="H1371" s="8">
        <f t="shared" si="11"/>
        <v>4489.72</v>
      </c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</row>
    <row r="1372">
      <c r="A1372" s="54">
        <f t="shared" si="12"/>
        <v>45153</v>
      </c>
      <c r="B1372" s="8">
        <f t="shared" si="13"/>
        <v>624430159.4</v>
      </c>
      <c r="C1372" s="8">
        <f t="shared" si="14"/>
        <v>0.002671232877</v>
      </c>
      <c r="D1372" s="8">
        <v>4437.86</v>
      </c>
      <c r="E1372" s="8">
        <f t="shared" si="17"/>
        <v>-0.01155083168</v>
      </c>
      <c r="F1372" s="53">
        <v>5.019044212</v>
      </c>
      <c r="G1372" s="8">
        <f t="shared" si="16"/>
        <v>0.0001375080606</v>
      </c>
      <c r="H1372" s="8">
        <f t="shared" si="11"/>
        <v>4437.86</v>
      </c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</row>
    <row r="1373">
      <c r="A1373" s="54">
        <f t="shared" si="12"/>
        <v>45154</v>
      </c>
      <c r="B1373" s="8">
        <f t="shared" si="13"/>
        <v>626098157.8</v>
      </c>
      <c r="C1373" s="8">
        <f t="shared" si="14"/>
        <v>0.002671232877</v>
      </c>
      <c r="D1373" s="8">
        <v>4404.33</v>
      </c>
      <c r="E1373" s="8">
        <f t="shared" si="17"/>
        <v>-0.007555443389</v>
      </c>
      <c r="F1373" s="53">
        <v>5.029754756</v>
      </c>
      <c r="G1373" s="8">
        <f t="shared" si="16"/>
        <v>0.0001378015002</v>
      </c>
      <c r="H1373" s="8">
        <f t="shared" si="11"/>
        <v>4404.33</v>
      </c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</row>
    <row r="1374">
      <c r="A1374" s="54">
        <f t="shared" si="12"/>
        <v>45155</v>
      </c>
      <c r="B1374" s="8">
        <f t="shared" si="13"/>
        <v>627770611.7</v>
      </c>
      <c r="C1374" s="8">
        <f t="shared" si="14"/>
        <v>0.002671232877</v>
      </c>
      <c r="D1374" s="8">
        <v>4370.36</v>
      </c>
      <c r="E1374" s="8">
        <f t="shared" si="17"/>
        <v>-0.007712864386</v>
      </c>
      <c r="F1374" s="53">
        <v>5.082395891</v>
      </c>
      <c r="G1374" s="8">
        <f t="shared" si="16"/>
        <v>0.000139243723</v>
      </c>
      <c r="H1374" s="8">
        <f t="shared" si="11"/>
        <v>4370.36</v>
      </c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</row>
    <row r="1375">
      <c r="A1375" s="54">
        <f t="shared" si="12"/>
        <v>45156</v>
      </c>
      <c r="B1375" s="8">
        <f t="shared" si="13"/>
        <v>629447533.2</v>
      </c>
      <c r="C1375" s="8">
        <f t="shared" si="14"/>
        <v>0.002671232877</v>
      </c>
      <c r="D1375" s="8">
        <v>4369.71</v>
      </c>
      <c r="E1375" s="8">
        <f t="shared" si="17"/>
        <v>-0.0001487291665</v>
      </c>
      <c r="F1375" s="53">
        <v>5.032977494</v>
      </c>
      <c r="G1375" s="8">
        <f t="shared" si="16"/>
        <v>0.0001378897944</v>
      </c>
      <c r="H1375" s="8">
        <f t="shared" si="11"/>
        <v>4369.71</v>
      </c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</row>
    <row r="1376">
      <c r="A1376" s="54">
        <f t="shared" si="12"/>
        <v>45157</v>
      </c>
      <c r="B1376" s="8">
        <f t="shared" si="13"/>
        <v>631128934.2</v>
      </c>
      <c r="C1376" s="8">
        <f t="shared" si="14"/>
        <v>0.002671232877</v>
      </c>
      <c r="D1376" s="8">
        <v>4369.71</v>
      </c>
      <c r="E1376" s="8">
        <f t="shared" si="17"/>
        <v>0</v>
      </c>
      <c r="F1376" s="53">
        <v>4.997203046</v>
      </c>
      <c r="G1376" s="8">
        <f t="shared" si="16"/>
        <v>0.0001369096725</v>
      </c>
      <c r="H1376" s="8">
        <f t="shared" si="11"/>
        <v>4369.71</v>
      </c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</row>
    <row r="1377">
      <c r="A1377" s="54">
        <f t="shared" si="12"/>
        <v>45158</v>
      </c>
      <c r="B1377" s="8">
        <f t="shared" si="13"/>
        <v>632814826.5</v>
      </c>
      <c r="C1377" s="8">
        <f t="shared" si="14"/>
        <v>0.002671232877</v>
      </c>
      <c r="D1377" s="8">
        <v>4369.71</v>
      </c>
      <c r="E1377" s="8">
        <f t="shared" si="17"/>
        <v>0</v>
      </c>
      <c r="F1377" s="53">
        <v>4.871555745</v>
      </c>
      <c r="G1377" s="8">
        <f t="shared" si="16"/>
        <v>0.0001334672807</v>
      </c>
      <c r="H1377" s="8">
        <f t="shared" si="11"/>
        <v>4369.71</v>
      </c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</row>
    <row r="1378">
      <c r="A1378" s="54">
        <f t="shared" si="12"/>
        <v>45159</v>
      </c>
      <c r="B1378" s="8">
        <f t="shared" si="13"/>
        <v>634505222.3</v>
      </c>
      <c r="C1378" s="8">
        <f t="shared" si="14"/>
        <v>0.002671232877</v>
      </c>
      <c r="D1378" s="8">
        <v>4399.77</v>
      </c>
      <c r="E1378" s="8">
        <f t="shared" si="17"/>
        <v>0.006879175048</v>
      </c>
      <c r="F1378" s="53">
        <v>5.096874758</v>
      </c>
      <c r="G1378" s="8">
        <f t="shared" si="16"/>
        <v>0.0001396404043</v>
      </c>
      <c r="H1378" s="8">
        <f t="shared" si="11"/>
        <v>4399.77</v>
      </c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</row>
    <row r="1379">
      <c r="A1379" s="54">
        <f t="shared" si="12"/>
        <v>45160</v>
      </c>
      <c r="B1379" s="8">
        <f t="shared" si="13"/>
        <v>636200133.5</v>
      </c>
      <c r="C1379" s="8">
        <f t="shared" si="14"/>
        <v>0.002671232877</v>
      </c>
      <c r="D1379" s="8">
        <v>4387.55</v>
      </c>
      <c r="E1379" s="8">
        <f t="shared" si="17"/>
        <v>-0.00277741791</v>
      </c>
      <c r="F1379" s="53">
        <v>4.965524094</v>
      </c>
      <c r="G1379" s="8">
        <f t="shared" si="16"/>
        <v>0.000136041756</v>
      </c>
      <c r="H1379" s="8">
        <f t="shared" si="11"/>
        <v>4387.55</v>
      </c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</row>
    <row r="1380">
      <c r="A1380" s="54">
        <f t="shared" si="12"/>
        <v>45161</v>
      </c>
      <c r="B1380" s="8">
        <f t="shared" si="13"/>
        <v>637899572.2</v>
      </c>
      <c r="C1380" s="8">
        <f t="shared" si="14"/>
        <v>0.002671232877</v>
      </c>
      <c r="D1380" s="8">
        <v>4436.01</v>
      </c>
      <c r="E1380" s="8">
        <f t="shared" si="17"/>
        <v>0.01104488838</v>
      </c>
      <c r="F1380" s="53">
        <v>5.00951846</v>
      </c>
      <c r="G1380" s="8">
        <f t="shared" si="16"/>
        <v>0.0001372470811</v>
      </c>
      <c r="H1380" s="8">
        <f t="shared" si="11"/>
        <v>4436.01</v>
      </c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</row>
    <row r="1381">
      <c r="A1381" s="54">
        <f t="shared" si="12"/>
        <v>45162</v>
      </c>
      <c r="B1381" s="8">
        <f t="shared" si="13"/>
        <v>639603550.5</v>
      </c>
      <c r="C1381" s="8">
        <f t="shared" si="14"/>
        <v>0.002671232877</v>
      </c>
      <c r="D1381" s="8">
        <v>4376.31</v>
      </c>
      <c r="E1381" s="8">
        <f t="shared" si="17"/>
        <v>-0.01345804</v>
      </c>
      <c r="F1381" s="53">
        <v>4.967657229</v>
      </c>
      <c r="G1381" s="8">
        <f t="shared" si="16"/>
        <v>0.0001361001981</v>
      </c>
      <c r="H1381" s="8">
        <f t="shared" si="11"/>
        <v>4376.31</v>
      </c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</row>
    <row r="1382">
      <c r="A1382" s="54">
        <f t="shared" si="12"/>
        <v>45163</v>
      </c>
      <c r="B1382" s="8">
        <f t="shared" si="13"/>
        <v>641312080.6</v>
      </c>
      <c r="C1382" s="8">
        <f t="shared" si="14"/>
        <v>0.002671232877</v>
      </c>
      <c r="D1382" s="8">
        <v>4405.71</v>
      </c>
      <c r="E1382" s="8">
        <f t="shared" si="17"/>
        <v>0.006717988442</v>
      </c>
      <c r="F1382" s="53">
        <v>4.928643261</v>
      </c>
      <c r="G1382" s="8">
        <f t="shared" si="16"/>
        <v>0.0001350313222</v>
      </c>
      <c r="H1382" s="8">
        <f t="shared" si="11"/>
        <v>4405.71</v>
      </c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</row>
    <row r="1383">
      <c r="A1383" s="54">
        <f t="shared" si="12"/>
        <v>45164</v>
      </c>
      <c r="B1383" s="8">
        <f t="shared" si="13"/>
        <v>643025174.5</v>
      </c>
      <c r="C1383" s="8">
        <f t="shared" si="14"/>
        <v>0.002671232877</v>
      </c>
      <c r="D1383" s="8">
        <v>4405.71</v>
      </c>
      <c r="E1383" s="8">
        <f t="shared" si="17"/>
        <v>0</v>
      </c>
      <c r="F1383" s="53">
        <v>5.015776619</v>
      </c>
      <c r="G1383" s="8">
        <f t="shared" si="16"/>
        <v>0.0001374185375</v>
      </c>
      <c r="H1383" s="8">
        <f t="shared" si="11"/>
        <v>4405.71</v>
      </c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</row>
    <row r="1384">
      <c r="A1384" s="54">
        <f t="shared" si="12"/>
        <v>45165</v>
      </c>
      <c r="B1384" s="8">
        <f t="shared" si="13"/>
        <v>644742844.5</v>
      </c>
      <c r="C1384" s="8">
        <f t="shared" si="14"/>
        <v>0.002671232877</v>
      </c>
      <c r="D1384" s="8">
        <v>4405.71</v>
      </c>
      <c r="E1384" s="8">
        <f t="shared" si="17"/>
        <v>0</v>
      </c>
      <c r="F1384" s="53">
        <v>4.991409513</v>
      </c>
      <c r="G1384" s="8">
        <f t="shared" si="16"/>
        <v>0.0001367509456</v>
      </c>
      <c r="H1384" s="8">
        <f t="shared" si="11"/>
        <v>4405.71</v>
      </c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</row>
    <row r="1385">
      <c r="A1385" s="54">
        <f t="shared" si="12"/>
        <v>45166</v>
      </c>
      <c r="B1385" s="8">
        <f t="shared" si="13"/>
        <v>646465102.8</v>
      </c>
      <c r="C1385" s="8">
        <f t="shared" si="14"/>
        <v>0.002671232877</v>
      </c>
      <c r="D1385" s="8">
        <v>4433.31</v>
      </c>
      <c r="E1385" s="8">
        <f t="shared" si="17"/>
        <v>0.006264597534</v>
      </c>
      <c r="F1385" s="53">
        <v>4.944359691</v>
      </c>
      <c r="G1385" s="8">
        <f t="shared" si="16"/>
        <v>0.0001354619093</v>
      </c>
      <c r="H1385" s="8">
        <f t="shared" si="11"/>
        <v>4433.31</v>
      </c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</row>
    <row r="1386">
      <c r="A1386" s="54">
        <f t="shared" si="12"/>
        <v>45167</v>
      </c>
      <c r="B1386" s="8">
        <f t="shared" si="13"/>
        <v>648191961.6</v>
      </c>
      <c r="C1386" s="8">
        <f t="shared" si="14"/>
        <v>0.002671232877</v>
      </c>
      <c r="D1386" s="8">
        <v>4497.63</v>
      </c>
      <c r="E1386" s="8">
        <f t="shared" si="17"/>
        <v>0.01450834704</v>
      </c>
      <c r="F1386" s="53">
        <v>4.956959057</v>
      </c>
      <c r="G1386" s="8">
        <f t="shared" si="16"/>
        <v>0.0001358070975</v>
      </c>
      <c r="H1386" s="8">
        <f t="shared" si="11"/>
        <v>4497.63</v>
      </c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</row>
    <row r="1387">
      <c r="A1387" s="54">
        <f t="shared" si="12"/>
        <v>45168</v>
      </c>
      <c r="B1387" s="8">
        <f t="shared" si="13"/>
        <v>649923433.3</v>
      </c>
      <c r="C1387" s="8">
        <f t="shared" si="14"/>
        <v>0.002671232877</v>
      </c>
      <c r="D1387" s="8">
        <v>4514.87</v>
      </c>
      <c r="E1387" s="8">
        <f t="shared" si="17"/>
        <v>0.003833129893</v>
      </c>
      <c r="F1387" s="53">
        <v>5.052054249</v>
      </c>
      <c r="G1387" s="8">
        <f t="shared" si="16"/>
        <v>0.0001384124452</v>
      </c>
      <c r="H1387" s="8">
        <f t="shared" si="11"/>
        <v>4514.87</v>
      </c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</row>
    <row r="1388">
      <c r="A1388" s="54">
        <f t="shared" si="12"/>
        <v>45169</v>
      </c>
      <c r="B1388" s="8">
        <f t="shared" si="13"/>
        <v>651659530.1</v>
      </c>
      <c r="C1388" s="8">
        <f t="shared" si="14"/>
        <v>0.002671232877</v>
      </c>
      <c r="D1388" s="8">
        <v>4507.66</v>
      </c>
      <c r="E1388" s="8">
        <f t="shared" si="17"/>
        <v>-0.001596945206</v>
      </c>
      <c r="F1388" s="53">
        <v>5.079115219</v>
      </c>
      <c r="G1388" s="8">
        <f t="shared" si="16"/>
        <v>0.0001391538416</v>
      </c>
      <c r="H1388" s="8">
        <f t="shared" si="11"/>
        <v>4507.66</v>
      </c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</row>
    <row r="1389">
      <c r="A1389" s="54">
        <f t="shared" si="12"/>
        <v>45170</v>
      </c>
      <c r="B1389" s="8">
        <f t="shared" si="13"/>
        <v>653400264.5</v>
      </c>
      <c r="C1389" s="8">
        <f t="shared" si="14"/>
        <v>0.002671232877</v>
      </c>
      <c r="D1389" s="8">
        <v>4515.77</v>
      </c>
      <c r="E1389" s="8">
        <f t="shared" si="17"/>
        <v>0.001799159653</v>
      </c>
      <c r="F1389" s="53">
        <v>5.030762586</v>
      </c>
      <c r="G1389" s="8">
        <f t="shared" si="16"/>
        <v>0.0001378291119</v>
      </c>
      <c r="H1389" s="8">
        <f t="shared" si="11"/>
        <v>4515.77</v>
      </c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</row>
    <row r="1390">
      <c r="A1390" s="54">
        <f t="shared" si="12"/>
        <v>45171</v>
      </c>
      <c r="B1390" s="8">
        <f t="shared" si="13"/>
        <v>655145648.8</v>
      </c>
      <c r="C1390" s="8">
        <f t="shared" si="14"/>
        <v>0.002671232877</v>
      </c>
      <c r="D1390" s="8">
        <v>4515.77</v>
      </c>
      <c r="E1390" s="8">
        <f t="shared" si="17"/>
        <v>0</v>
      </c>
      <c r="F1390" s="53">
        <v>4.958617629</v>
      </c>
      <c r="G1390" s="8">
        <f t="shared" si="16"/>
        <v>0.0001358525378</v>
      </c>
      <c r="H1390" s="8">
        <f t="shared" si="11"/>
        <v>4515.77</v>
      </c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</row>
    <row r="1391">
      <c r="A1391" s="54">
        <f t="shared" si="12"/>
        <v>45172</v>
      </c>
      <c r="B1391" s="8">
        <f t="shared" si="13"/>
        <v>656895695.3</v>
      </c>
      <c r="C1391" s="8">
        <f t="shared" si="14"/>
        <v>0.002671232877</v>
      </c>
      <c r="D1391" s="8">
        <v>4515.77</v>
      </c>
      <c r="E1391" s="8">
        <f t="shared" si="17"/>
        <v>0</v>
      </c>
      <c r="F1391" s="53">
        <v>4.949970799</v>
      </c>
      <c r="G1391" s="8">
        <f t="shared" si="16"/>
        <v>0.0001356156383</v>
      </c>
      <c r="H1391" s="8">
        <f t="shared" si="11"/>
        <v>4515.77</v>
      </c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</row>
    <row r="1392">
      <c r="A1392" s="54">
        <f t="shared" si="12"/>
        <v>45173</v>
      </c>
      <c r="B1392" s="8">
        <f t="shared" si="13"/>
        <v>658650416.7</v>
      </c>
      <c r="C1392" s="8">
        <f t="shared" si="14"/>
        <v>0.002671232877</v>
      </c>
      <c r="D1392" s="8">
        <v>4515.77</v>
      </c>
      <c r="E1392" s="8">
        <f t="shared" si="17"/>
        <v>0</v>
      </c>
      <c r="F1392" s="53">
        <v>5.016316959</v>
      </c>
      <c r="G1392" s="8">
        <f t="shared" si="16"/>
        <v>0.0001374333413</v>
      </c>
      <c r="H1392" s="8">
        <f t="shared" si="11"/>
        <v>4515.77</v>
      </c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</row>
    <row r="1393">
      <c r="A1393" s="54">
        <f t="shared" si="12"/>
        <v>45174</v>
      </c>
      <c r="B1393" s="8">
        <f t="shared" si="13"/>
        <v>660409825.4</v>
      </c>
      <c r="C1393" s="8">
        <f t="shared" si="14"/>
        <v>0.002671232877</v>
      </c>
      <c r="D1393" s="8">
        <v>4496.83</v>
      </c>
      <c r="E1393" s="8">
        <f t="shared" si="17"/>
        <v>-0.004194190581</v>
      </c>
      <c r="F1393" s="53">
        <v>5.054576814</v>
      </c>
      <c r="G1393" s="8">
        <f t="shared" si="16"/>
        <v>0.0001384815565</v>
      </c>
      <c r="H1393" s="8">
        <f t="shared" si="11"/>
        <v>4496.83</v>
      </c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</row>
    <row r="1394">
      <c r="A1394" s="54">
        <f t="shared" si="12"/>
        <v>45175</v>
      </c>
      <c r="B1394" s="8">
        <f t="shared" si="13"/>
        <v>662173933.8</v>
      </c>
      <c r="C1394" s="8">
        <f t="shared" si="14"/>
        <v>0.002671232877</v>
      </c>
      <c r="D1394" s="8">
        <v>4465.48</v>
      </c>
      <c r="E1394" s="8">
        <f t="shared" si="17"/>
        <v>-0.006971577756</v>
      </c>
      <c r="F1394" s="53">
        <v>4.985915044</v>
      </c>
      <c r="G1394" s="8">
        <f t="shared" si="16"/>
        <v>0.0001366004122</v>
      </c>
      <c r="H1394" s="8">
        <f t="shared" si="11"/>
        <v>4465.48</v>
      </c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</row>
    <row r="1395">
      <c r="A1395" s="54">
        <f t="shared" si="12"/>
        <v>45176</v>
      </c>
      <c r="B1395" s="8">
        <f t="shared" si="13"/>
        <v>663942754.6</v>
      </c>
      <c r="C1395" s="8">
        <f t="shared" si="14"/>
        <v>0.002671232877</v>
      </c>
      <c r="D1395" s="8">
        <v>4451.14</v>
      </c>
      <c r="E1395" s="8">
        <f t="shared" si="17"/>
        <v>-0.003211300913</v>
      </c>
      <c r="F1395" s="53">
        <v>4.945611685</v>
      </c>
      <c r="G1395" s="8">
        <f t="shared" si="16"/>
        <v>0.0001354962105</v>
      </c>
      <c r="H1395" s="8">
        <f t="shared" si="11"/>
        <v>4451.14</v>
      </c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</row>
    <row r="1396">
      <c r="A1396" s="54">
        <f t="shared" si="12"/>
        <v>45177</v>
      </c>
      <c r="B1396" s="8">
        <f t="shared" si="13"/>
        <v>665716300.3</v>
      </c>
      <c r="C1396" s="8">
        <f t="shared" si="14"/>
        <v>0.002671232877</v>
      </c>
      <c r="D1396" s="8">
        <v>4457.49</v>
      </c>
      <c r="E1396" s="8">
        <f t="shared" si="17"/>
        <v>0.001426600826</v>
      </c>
      <c r="F1396" s="53">
        <v>4.963418932</v>
      </c>
      <c r="G1396" s="8">
        <f t="shared" si="16"/>
        <v>0.0001359840803</v>
      </c>
      <c r="H1396" s="8">
        <f t="shared" si="11"/>
        <v>4457.49</v>
      </c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</row>
    <row r="1397">
      <c r="A1397" s="54">
        <f t="shared" si="12"/>
        <v>45178</v>
      </c>
      <c r="B1397" s="8">
        <f t="shared" si="13"/>
        <v>667494583.6</v>
      </c>
      <c r="C1397" s="8">
        <f t="shared" si="14"/>
        <v>0.002671232877</v>
      </c>
      <c r="D1397" s="8">
        <v>4457.49</v>
      </c>
      <c r="E1397" s="8">
        <f t="shared" si="17"/>
        <v>0</v>
      </c>
      <c r="F1397" s="53">
        <v>4.996032814</v>
      </c>
      <c r="G1397" s="8">
        <f t="shared" si="16"/>
        <v>0.0001368776113</v>
      </c>
      <c r="H1397" s="8">
        <f t="shared" si="11"/>
        <v>4457.49</v>
      </c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</row>
    <row r="1398">
      <c r="A1398" s="54">
        <f t="shared" si="12"/>
        <v>45179</v>
      </c>
      <c r="B1398" s="8">
        <f t="shared" si="13"/>
        <v>669277617.1</v>
      </c>
      <c r="C1398" s="8">
        <f t="shared" si="14"/>
        <v>0.002671232877</v>
      </c>
      <c r="D1398" s="8">
        <v>4457.49</v>
      </c>
      <c r="E1398" s="8">
        <f t="shared" si="17"/>
        <v>0</v>
      </c>
      <c r="F1398" s="53">
        <v>5.110896299</v>
      </c>
      <c r="G1398" s="8">
        <f t="shared" si="16"/>
        <v>0.0001400245561</v>
      </c>
      <c r="H1398" s="8">
        <f t="shared" si="11"/>
        <v>4457.49</v>
      </c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</row>
    <row r="1399">
      <c r="A1399" s="54">
        <f t="shared" si="12"/>
        <v>45180</v>
      </c>
      <c r="B1399" s="8">
        <f t="shared" si="13"/>
        <v>671065413.4</v>
      </c>
      <c r="C1399" s="8">
        <f t="shared" si="14"/>
        <v>0.002671232877</v>
      </c>
      <c r="D1399" s="8">
        <v>4487.46</v>
      </c>
      <c r="E1399" s="8">
        <f t="shared" si="17"/>
        <v>0.006723514803</v>
      </c>
      <c r="F1399" s="53">
        <v>5.085244601</v>
      </c>
      <c r="G1399" s="8">
        <f t="shared" si="16"/>
        <v>0.0001393217699</v>
      </c>
      <c r="H1399" s="8">
        <f t="shared" si="11"/>
        <v>4487.46</v>
      </c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</row>
    <row r="1400">
      <c r="A1400" s="54">
        <f t="shared" si="12"/>
        <v>45181</v>
      </c>
      <c r="B1400" s="8">
        <f t="shared" si="13"/>
        <v>672857985.4</v>
      </c>
      <c r="C1400" s="8">
        <f t="shared" si="14"/>
        <v>0.002671232877</v>
      </c>
      <c r="D1400" s="8">
        <v>4461.9</v>
      </c>
      <c r="E1400" s="8">
        <f t="shared" si="17"/>
        <v>-0.005695872498</v>
      </c>
      <c r="F1400" s="53">
        <v>4.949561625</v>
      </c>
      <c r="G1400" s="8">
        <f t="shared" si="16"/>
        <v>0.0001356044281</v>
      </c>
      <c r="H1400" s="8">
        <f t="shared" si="11"/>
        <v>4461.9</v>
      </c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</row>
    <row r="1401">
      <c r="A1401" s="54">
        <f t="shared" si="12"/>
        <v>45182</v>
      </c>
      <c r="B1401" s="8">
        <f t="shared" si="13"/>
        <v>674655345.8</v>
      </c>
      <c r="C1401" s="8">
        <f t="shared" si="14"/>
        <v>0.002671232877</v>
      </c>
      <c r="D1401" s="8">
        <v>4467.44</v>
      </c>
      <c r="E1401" s="8">
        <f t="shared" si="17"/>
        <v>0.001241623524</v>
      </c>
      <c r="F1401" s="53">
        <v>5.04000118</v>
      </c>
      <c r="G1401" s="8">
        <f t="shared" si="16"/>
        <v>0.0001380822241</v>
      </c>
      <c r="H1401" s="8">
        <f t="shared" si="11"/>
        <v>4467.44</v>
      </c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</row>
    <row r="1402">
      <c r="A1402" s="54">
        <f t="shared" si="12"/>
        <v>45183</v>
      </c>
      <c r="B1402" s="8">
        <f t="shared" si="13"/>
        <v>676457507.3</v>
      </c>
      <c r="C1402" s="8">
        <f t="shared" si="14"/>
        <v>0.002671232877</v>
      </c>
      <c r="D1402" s="8">
        <v>4505.1</v>
      </c>
      <c r="E1402" s="8">
        <f t="shared" si="17"/>
        <v>0.008429883781</v>
      </c>
      <c r="F1402" s="53">
        <v>5.016219858</v>
      </c>
      <c r="G1402" s="8">
        <f t="shared" si="16"/>
        <v>0.000137430681</v>
      </c>
      <c r="H1402" s="8">
        <f t="shared" si="11"/>
        <v>4505.1</v>
      </c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</row>
    <row r="1403">
      <c r="A1403" s="54">
        <f t="shared" si="12"/>
        <v>45184</v>
      </c>
      <c r="B1403" s="8">
        <f t="shared" si="13"/>
        <v>678264482.9</v>
      </c>
      <c r="C1403" s="8">
        <f t="shared" si="14"/>
        <v>0.002671232877</v>
      </c>
      <c r="D1403" s="8">
        <v>4450.32</v>
      </c>
      <c r="E1403" s="8">
        <f t="shared" si="17"/>
        <v>-0.01215955251</v>
      </c>
      <c r="F1403" s="53">
        <v>5.05690797</v>
      </c>
      <c r="G1403" s="8">
        <f t="shared" si="16"/>
        <v>0.0001385454238</v>
      </c>
      <c r="H1403" s="8">
        <f t="shared" si="11"/>
        <v>4450.32</v>
      </c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</row>
    <row r="1404">
      <c r="A1404" s="54">
        <f t="shared" si="12"/>
        <v>45185</v>
      </c>
      <c r="B1404" s="8">
        <f t="shared" si="13"/>
        <v>680076285.3</v>
      </c>
      <c r="C1404" s="8">
        <f t="shared" si="14"/>
        <v>0.002671232877</v>
      </c>
      <c r="D1404" s="8">
        <v>4450.32</v>
      </c>
      <c r="E1404" s="8">
        <f t="shared" si="17"/>
        <v>0</v>
      </c>
      <c r="F1404" s="53">
        <v>5.003878401</v>
      </c>
      <c r="G1404" s="8">
        <f t="shared" si="16"/>
        <v>0.0001370925589</v>
      </c>
      <c r="H1404" s="8">
        <f t="shared" si="11"/>
        <v>4450.32</v>
      </c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</row>
    <row r="1405">
      <c r="A1405" s="54">
        <f t="shared" si="12"/>
        <v>45186</v>
      </c>
      <c r="B1405" s="8">
        <f t="shared" si="13"/>
        <v>681892927.4</v>
      </c>
      <c r="C1405" s="8">
        <f t="shared" si="14"/>
        <v>0.002671232877</v>
      </c>
      <c r="D1405" s="8">
        <v>4450.32</v>
      </c>
      <c r="E1405" s="8">
        <f t="shared" si="17"/>
        <v>0</v>
      </c>
      <c r="F1405" s="53">
        <v>5.008125066</v>
      </c>
      <c r="G1405" s="8">
        <f t="shared" si="16"/>
        <v>0.0001372089059</v>
      </c>
      <c r="H1405" s="8">
        <f t="shared" si="11"/>
        <v>4450.32</v>
      </c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</row>
    <row r="1406">
      <c r="A1406" s="54">
        <f t="shared" si="12"/>
        <v>45187</v>
      </c>
      <c r="B1406" s="8">
        <f t="shared" si="13"/>
        <v>683714422.2</v>
      </c>
      <c r="C1406" s="8">
        <f t="shared" si="14"/>
        <v>0.002671232877</v>
      </c>
      <c r="D1406" s="8">
        <v>4453.53</v>
      </c>
      <c r="E1406" s="8">
        <f t="shared" si="17"/>
        <v>0.0007212964461</v>
      </c>
      <c r="F1406" s="53">
        <v>5.082595388</v>
      </c>
      <c r="G1406" s="8">
        <f t="shared" si="16"/>
        <v>0.0001392491887</v>
      </c>
      <c r="H1406" s="8">
        <f t="shared" si="11"/>
        <v>4453.53</v>
      </c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</row>
    <row r="1407">
      <c r="A1407" s="54">
        <f t="shared" si="12"/>
        <v>45188</v>
      </c>
      <c r="B1407" s="8">
        <f t="shared" si="13"/>
        <v>685540782.6</v>
      </c>
      <c r="C1407" s="8">
        <f t="shared" si="14"/>
        <v>0.002671232877</v>
      </c>
      <c r="D1407" s="8">
        <v>4443.95</v>
      </c>
      <c r="E1407" s="8">
        <f t="shared" si="17"/>
        <v>-0.002151102608</v>
      </c>
      <c r="F1407" s="53">
        <v>4.941535109</v>
      </c>
      <c r="G1407" s="8">
        <f t="shared" si="16"/>
        <v>0.0001353845235</v>
      </c>
      <c r="H1407" s="8">
        <f t="shared" si="11"/>
        <v>4443.95</v>
      </c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</row>
    <row r="1408">
      <c r="A1408" s="54">
        <f t="shared" si="12"/>
        <v>45189</v>
      </c>
      <c r="B1408" s="8">
        <f t="shared" si="13"/>
        <v>687372021.7</v>
      </c>
      <c r="C1408" s="8">
        <f t="shared" si="14"/>
        <v>0.002671232877</v>
      </c>
      <c r="D1408" s="8">
        <v>4402.2</v>
      </c>
      <c r="E1408" s="8">
        <f t="shared" si="17"/>
        <v>-0.009394795171</v>
      </c>
      <c r="F1408" s="53">
        <v>4.965574683</v>
      </c>
      <c r="G1408" s="8">
        <f t="shared" si="16"/>
        <v>0.000136043142</v>
      </c>
      <c r="H1408" s="8">
        <f t="shared" si="11"/>
        <v>4402.2</v>
      </c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</row>
    <row r="1409">
      <c r="A1409" s="54">
        <f t="shared" si="12"/>
        <v>45190</v>
      </c>
      <c r="B1409" s="8">
        <f t="shared" si="13"/>
        <v>689208152.5</v>
      </c>
      <c r="C1409" s="8">
        <f t="shared" si="14"/>
        <v>0.002671232877</v>
      </c>
      <c r="D1409" s="8">
        <v>4330.0</v>
      </c>
      <c r="E1409" s="8">
        <f t="shared" si="17"/>
        <v>-0.01640089046</v>
      </c>
      <c r="F1409" s="53">
        <v>5.004445597</v>
      </c>
      <c r="G1409" s="8">
        <f t="shared" si="16"/>
        <v>0.0001371080985</v>
      </c>
      <c r="H1409" s="8">
        <f t="shared" si="11"/>
        <v>4330</v>
      </c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</row>
    <row r="1410">
      <c r="A1410" s="54">
        <f t="shared" si="12"/>
        <v>45191</v>
      </c>
      <c r="B1410" s="8">
        <f t="shared" si="13"/>
        <v>691049187.9</v>
      </c>
      <c r="C1410" s="8">
        <f t="shared" si="14"/>
        <v>0.002671232877</v>
      </c>
      <c r="D1410" s="8">
        <v>4320.06</v>
      </c>
      <c r="E1410" s="8">
        <f t="shared" si="17"/>
        <v>-0.002295612009</v>
      </c>
      <c r="F1410" s="53">
        <v>5.11125642</v>
      </c>
      <c r="G1410" s="8">
        <f t="shared" si="16"/>
        <v>0.0001400344225</v>
      </c>
      <c r="H1410" s="8">
        <f t="shared" si="11"/>
        <v>4320.06</v>
      </c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</row>
    <row r="1411">
      <c r="A1411" s="54">
        <f t="shared" si="12"/>
        <v>45192</v>
      </c>
      <c r="B1411" s="8">
        <f t="shared" si="13"/>
        <v>692895141.2</v>
      </c>
      <c r="C1411" s="8">
        <f t="shared" si="14"/>
        <v>0.002671232877</v>
      </c>
      <c r="D1411" s="8">
        <v>4320.06</v>
      </c>
      <c r="E1411" s="8">
        <f t="shared" si="17"/>
        <v>0</v>
      </c>
      <c r="F1411" s="53">
        <v>5.003572248</v>
      </c>
      <c r="G1411" s="8">
        <f t="shared" si="16"/>
        <v>0.0001370841712</v>
      </c>
      <c r="H1411" s="8">
        <f t="shared" si="11"/>
        <v>4320.06</v>
      </c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</row>
    <row r="1412">
      <c r="A1412" s="54">
        <f t="shared" si="12"/>
        <v>45193</v>
      </c>
      <c r="B1412" s="8">
        <f t="shared" si="13"/>
        <v>694746025.5</v>
      </c>
      <c r="C1412" s="8">
        <f t="shared" si="14"/>
        <v>0.002671232877</v>
      </c>
      <c r="D1412" s="8">
        <v>4320.06</v>
      </c>
      <c r="E1412" s="8">
        <f t="shared" si="17"/>
        <v>0</v>
      </c>
      <c r="F1412" s="53">
        <v>5.11472185</v>
      </c>
      <c r="G1412" s="8">
        <f t="shared" si="16"/>
        <v>0.0001401293658</v>
      </c>
      <c r="H1412" s="8">
        <f t="shared" si="11"/>
        <v>4320.06</v>
      </c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</row>
    <row r="1413">
      <c r="A1413" s="54">
        <f t="shared" si="12"/>
        <v>45194</v>
      </c>
      <c r="B1413" s="8">
        <f t="shared" si="13"/>
        <v>696601853.9</v>
      </c>
      <c r="C1413" s="8">
        <f t="shared" si="14"/>
        <v>0.002671232877</v>
      </c>
      <c r="D1413" s="8">
        <v>4337.44</v>
      </c>
      <c r="E1413" s="8">
        <f t="shared" si="17"/>
        <v>0.004023092272</v>
      </c>
      <c r="F1413" s="53">
        <v>5.026802076</v>
      </c>
      <c r="G1413" s="8">
        <f t="shared" si="16"/>
        <v>0.0001377206048</v>
      </c>
      <c r="H1413" s="8">
        <f t="shared" si="11"/>
        <v>4337.44</v>
      </c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</row>
    <row r="1414">
      <c r="A1414" s="54">
        <f t="shared" si="12"/>
        <v>45195</v>
      </c>
      <c r="B1414" s="8">
        <f t="shared" si="13"/>
        <v>698462639.7</v>
      </c>
      <c r="C1414" s="8">
        <f t="shared" si="14"/>
        <v>0.002671232877</v>
      </c>
      <c r="D1414" s="8">
        <v>4273.53</v>
      </c>
      <c r="E1414" s="8">
        <f t="shared" si="17"/>
        <v>-0.01473449777</v>
      </c>
      <c r="F1414" s="53">
        <v>5.105061131</v>
      </c>
      <c r="G1414" s="8">
        <f t="shared" si="16"/>
        <v>0.0001398646885</v>
      </c>
      <c r="H1414" s="8">
        <f t="shared" si="11"/>
        <v>4273.53</v>
      </c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</row>
    <row r="1415">
      <c r="A1415" s="54">
        <f t="shared" si="12"/>
        <v>45196</v>
      </c>
      <c r="B1415" s="8">
        <f t="shared" si="13"/>
        <v>700328396.1</v>
      </c>
      <c r="C1415" s="8">
        <f t="shared" si="14"/>
        <v>0.002671232877</v>
      </c>
      <c r="D1415" s="8">
        <v>4274.51</v>
      </c>
      <c r="E1415" s="8">
        <f t="shared" si="17"/>
        <v>0.0002293186195</v>
      </c>
      <c r="F1415" s="53">
        <v>5.052248832</v>
      </c>
      <c r="G1415" s="8">
        <f t="shared" si="16"/>
        <v>0.0001384177762</v>
      </c>
      <c r="H1415" s="8">
        <f t="shared" si="11"/>
        <v>4274.51</v>
      </c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</row>
    <row r="1416">
      <c r="A1416" s="54">
        <f t="shared" si="12"/>
        <v>45197</v>
      </c>
      <c r="B1416" s="8">
        <f t="shared" si="13"/>
        <v>702199136.3</v>
      </c>
      <c r="C1416" s="8">
        <f t="shared" si="14"/>
        <v>0.002671232877</v>
      </c>
      <c r="D1416" s="8">
        <v>4299.7</v>
      </c>
      <c r="E1416" s="8">
        <f t="shared" si="17"/>
        <v>0.005893073124</v>
      </c>
      <c r="F1416" s="53">
        <v>4.957858784</v>
      </c>
      <c r="G1416" s="8">
        <f t="shared" si="16"/>
        <v>0.0001358317475</v>
      </c>
      <c r="H1416" s="8">
        <f t="shared" si="11"/>
        <v>4299.7</v>
      </c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</row>
    <row r="1417">
      <c r="A1417" s="54">
        <f t="shared" si="12"/>
        <v>45198</v>
      </c>
      <c r="B1417" s="8">
        <f t="shared" si="13"/>
        <v>704074873.7</v>
      </c>
      <c r="C1417" s="8">
        <f t="shared" si="14"/>
        <v>0.002671232877</v>
      </c>
      <c r="D1417" s="8">
        <v>4288.05</v>
      </c>
      <c r="E1417" s="8">
        <f t="shared" si="17"/>
        <v>-0.00270949136</v>
      </c>
      <c r="F1417" s="53">
        <v>4.979503907</v>
      </c>
      <c r="G1417" s="8">
        <f t="shared" si="16"/>
        <v>0.0001364247646</v>
      </c>
      <c r="H1417" s="8">
        <f t="shared" si="11"/>
        <v>4288.05</v>
      </c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</row>
    <row r="1418">
      <c r="A1418" s="54">
        <f t="shared" si="12"/>
        <v>45199</v>
      </c>
      <c r="B1418" s="8">
        <f t="shared" si="13"/>
        <v>705955621.7</v>
      </c>
      <c r="C1418" s="8">
        <f t="shared" si="14"/>
        <v>0.002671232877</v>
      </c>
      <c r="D1418" s="8">
        <v>4288.05</v>
      </c>
      <c r="E1418" s="8">
        <f t="shared" si="17"/>
        <v>0</v>
      </c>
      <c r="F1418" s="53">
        <v>5.107646903</v>
      </c>
      <c r="G1418" s="8">
        <f t="shared" si="16"/>
        <v>0.0001399355316</v>
      </c>
      <c r="H1418" s="8">
        <f t="shared" si="11"/>
        <v>4288.05</v>
      </c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</row>
    <row r="1419">
      <c r="A1419" s="54">
        <f t="shared" si="12"/>
        <v>45200</v>
      </c>
      <c r="B1419" s="8">
        <f t="shared" si="13"/>
        <v>707841393.6</v>
      </c>
      <c r="C1419" s="8">
        <f t="shared" si="14"/>
        <v>0.002671232877</v>
      </c>
      <c r="D1419" s="8">
        <v>4288.05</v>
      </c>
      <c r="E1419" s="8">
        <f t="shared" si="17"/>
        <v>0</v>
      </c>
      <c r="F1419" s="53">
        <v>5.005188697</v>
      </c>
      <c r="G1419" s="8">
        <f t="shared" si="16"/>
        <v>0.0001371284575</v>
      </c>
      <c r="H1419" s="8">
        <f t="shared" si="11"/>
        <v>4288.05</v>
      </c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</row>
    <row r="1420">
      <c r="A1420" s="54">
        <f t="shared" si="12"/>
        <v>45201</v>
      </c>
      <c r="B1420" s="8">
        <f t="shared" si="13"/>
        <v>709732202.8</v>
      </c>
      <c r="C1420" s="8">
        <f t="shared" si="14"/>
        <v>0.002671232877</v>
      </c>
      <c r="D1420" s="8">
        <v>4288.39</v>
      </c>
      <c r="E1420" s="8">
        <f t="shared" si="17"/>
        <v>0.00007929012022</v>
      </c>
      <c r="F1420" s="53">
        <v>5.10097319</v>
      </c>
      <c r="G1420" s="8">
        <f t="shared" si="16"/>
        <v>0.0001397526901</v>
      </c>
      <c r="H1420" s="8">
        <f t="shared" si="11"/>
        <v>4288.39</v>
      </c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</row>
    <row r="1421">
      <c r="A1421" s="54">
        <f t="shared" si="12"/>
        <v>45202</v>
      </c>
      <c r="B1421" s="8">
        <f t="shared" si="13"/>
        <v>711628062.8</v>
      </c>
      <c r="C1421" s="8">
        <f t="shared" si="14"/>
        <v>0.002671232877</v>
      </c>
      <c r="D1421" s="8">
        <v>4229.45</v>
      </c>
      <c r="E1421" s="8">
        <f t="shared" si="17"/>
        <v>-0.01374408578</v>
      </c>
      <c r="F1421" s="53">
        <v>5.114095148</v>
      </c>
      <c r="G1421" s="8">
        <f t="shared" si="16"/>
        <v>0.0001401121958</v>
      </c>
      <c r="H1421" s="8">
        <f t="shared" si="11"/>
        <v>4229.45</v>
      </c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</row>
    <row r="1422">
      <c r="A1422" s="54">
        <f t="shared" si="12"/>
        <v>45203</v>
      </c>
      <c r="B1422" s="8">
        <f t="shared" si="13"/>
        <v>713528987</v>
      </c>
      <c r="C1422" s="8">
        <f t="shared" si="14"/>
        <v>0.002671232877</v>
      </c>
      <c r="D1422" s="8">
        <v>4263.75</v>
      </c>
      <c r="E1422" s="8">
        <f t="shared" si="17"/>
        <v>0.008109801511</v>
      </c>
      <c r="F1422" s="53">
        <v>4.988974866</v>
      </c>
      <c r="G1422" s="8">
        <f t="shared" si="16"/>
        <v>0.0001366842429</v>
      </c>
      <c r="H1422" s="8">
        <f t="shared" si="11"/>
        <v>4263.75</v>
      </c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</row>
    <row r="1423">
      <c r="A1423" s="54">
        <f t="shared" si="12"/>
        <v>45204</v>
      </c>
      <c r="B1423" s="8">
        <f t="shared" si="13"/>
        <v>715434989.1</v>
      </c>
      <c r="C1423" s="8">
        <f t="shared" si="14"/>
        <v>0.002671232877</v>
      </c>
      <c r="D1423" s="8">
        <v>4258.19</v>
      </c>
      <c r="E1423" s="8">
        <f t="shared" si="17"/>
        <v>-0.001304016417</v>
      </c>
      <c r="F1423" s="53">
        <v>4.97296033</v>
      </c>
      <c r="G1423" s="8">
        <f t="shared" si="16"/>
        <v>0.0001362454885</v>
      </c>
      <c r="H1423" s="8">
        <f t="shared" si="11"/>
        <v>4258.19</v>
      </c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</row>
    <row r="1424">
      <c r="A1424" s="54">
        <f t="shared" si="12"/>
        <v>45205</v>
      </c>
      <c r="B1424" s="8">
        <f t="shared" si="13"/>
        <v>717346082.6</v>
      </c>
      <c r="C1424" s="8">
        <f t="shared" si="14"/>
        <v>0.002671232877</v>
      </c>
      <c r="D1424" s="8">
        <v>4308.5</v>
      </c>
      <c r="E1424" s="8">
        <f t="shared" si="17"/>
        <v>0.01181487909</v>
      </c>
      <c r="F1424" s="53">
        <v>5.061593001</v>
      </c>
      <c r="G1424" s="8">
        <f t="shared" si="16"/>
        <v>0.0001386737808</v>
      </c>
      <c r="H1424" s="8">
        <f t="shared" si="11"/>
        <v>4308.5</v>
      </c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</row>
    <row r="1425">
      <c r="A1425" s="54">
        <f t="shared" si="12"/>
        <v>45206</v>
      </c>
      <c r="B1425" s="8">
        <f t="shared" si="13"/>
        <v>719262281</v>
      </c>
      <c r="C1425" s="8">
        <f t="shared" si="14"/>
        <v>0.002671232877</v>
      </c>
      <c r="D1425" s="8">
        <v>4308.5</v>
      </c>
      <c r="E1425" s="8">
        <f t="shared" si="17"/>
        <v>0</v>
      </c>
      <c r="F1425" s="53">
        <v>4.95149178</v>
      </c>
      <c r="G1425" s="8">
        <f t="shared" si="16"/>
        <v>0.000135657309</v>
      </c>
      <c r="H1425" s="8">
        <f t="shared" si="11"/>
        <v>4308.5</v>
      </c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</row>
    <row r="1426">
      <c r="A1426" s="54">
        <f t="shared" si="12"/>
        <v>45207</v>
      </c>
      <c r="B1426" s="8">
        <f t="shared" si="13"/>
        <v>721183598.1</v>
      </c>
      <c r="C1426" s="8">
        <f t="shared" si="14"/>
        <v>0.002671232877</v>
      </c>
      <c r="D1426" s="8">
        <v>4308.5</v>
      </c>
      <c r="E1426" s="8">
        <f t="shared" si="17"/>
        <v>0</v>
      </c>
      <c r="F1426" s="53">
        <v>5.061235556</v>
      </c>
      <c r="G1426" s="8">
        <f t="shared" si="16"/>
        <v>0.0001386639878</v>
      </c>
      <c r="H1426" s="8">
        <f t="shared" si="11"/>
        <v>4308.5</v>
      </c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</row>
    <row r="1427">
      <c r="A1427" s="54">
        <f t="shared" si="12"/>
        <v>45208</v>
      </c>
      <c r="B1427" s="8">
        <f t="shared" si="13"/>
        <v>723110047.4</v>
      </c>
      <c r="C1427" s="8">
        <f t="shared" si="14"/>
        <v>0.002671232877</v>
      </c>
      <c r="D1427" s="8">
        <v>4335.66</v>
      </c>
      <c r="E1427" s="8">
        <f t="shared" si="17"/>
        <v>0.006303818034</v>
      </c>
      <c r="F1427" s="53">
        <v>5.070582338</v>
      </c>
      <c r="G1427" s="8">
        <f t="shared" si="16"/>
        <v>0.0001389200641</v>
      </c>
      <c r="H1427" s="8">
        <f t="shared" si="11"/>
        <v>4335.66</v>
      </c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</row>
    <row r="1428">
      <c r="A1428" s="54">
        <f t="shared" si="12"/>
        <v>45209</v>
      </c>
      <c r="B1428" s="8">
        <f t="shared" si="13"/>
        <v>725041642.7</v>
      </c>
      <c r="C1428" s="8">
        <f t="shared" si="14"/>
        <v>0.002671232877</v>
      </c>
      <c r="D1428" s="8">
        <v>4358.24</v>
      </c>
      <c r="E1428" s="8">
        <f t="shared" si="17"/>
        <v>0.00520797295</v>
      </c>
      <c r="F1428" s="53">
        <v>4.954918525</v>
      </c>
      <c r="G1428" s="8">
        <f t="shared" si="16"/>
        <v>0.0001357511925</v>
      </c>
      <c r="H1428" s="8">
        <f t="shared" si="11"/>
        <v>4358.24</v>
      </c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</row>
    <row r="1429">
      <c r="A1429" s="54">
        <f t="shared" si="12"/>
        <v>45210</v>
      </c>
      <c r="B1429" s="8">
        <f t="shared" si="13"/>
        <v>726978397.8</v>
      </c>
      <c r="C1429" s="8">
        <f t="shared" si="14"/>
        <v>0.002671232877</v>
      </c>
      <c r="D1429" s="8">
        <v>4376.95</v>
      </c>
      <c r="E1429" s="8">
        <f t="shared" si="17"/>
        <v>0.004293017365</v>
      </c>
      <c r="F1429" s="53">
        <v>4.992769173</v>
      </c>
      <c r="G1429" s="8">
        <f t="shared" si="16"/>
        <v>0.0001367881965</v>
      </c>
      <c r="H1429" s="8">
        <f t="shared" si="11"/>
        <v>4376.95</v>
      </c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</row>
    <row r="1430">
      <c r="A1430" s="54">
        <f t="shared" si="12"/>
        <v>45211</v>
      </c>
      <c r="B1430" s="8">
        <f t="shared" si="13"/>
        <v>728920326.4</v>
      </c>
      <c r="C1430" s="8">
        <f t="shared" si="14"/>
        <v>0.002671232877</v>
      </c>
      <c r="D1430" s="8">
        <v>4349.61</v>
      </c>
      <c r="E1430" s="8">
        <f t="shared" si="17"/>
        <v>-0.006246358766</v>
      </c>
      <c r="F1430" s="53">
        <v>4.923202211</v>
      </c>
      <c r="G1430" s="8">
        <f t="shared" si="16"/>
        <v>0.0001348822524</v>
      </c>
      <c r="H1430" s="8">
        <f t="shared" si="11"/>
        <v>4349.61</v>
      </c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</row>
    <row r="1431">
      <c r="A1431" s="54">
        <f t="shared" si="12"/>
        <v>45212</v>
      </c>
      <c r="B1431" s="8">
        <f t="shared" si="13"/>
        <v>730867442.4</v>
      </c>
      <c r="C1431" s="8">
        <f t="shared" si="14"/>
        <v>0.002671232877</v>
      </c>
      <c r="D1431" s="8">
        <v>4327.78</v>
      </c>
      <c r="E1431" s="8">
        <f t="shared" si="17"/>
        <v>-0.00501884077</v>
      </c>
      <c r="F1431" s="53">
        <v>5.009439455</v>
      </c>
      <c r="G1431" s="8">
        <f t="shared" si="16"/>
        <v>0.0001372449166</v>
      </c>
      <c r="H1431" s="8">
        <f t="shared" si="11"/>
        <v>4327.78</v>
      </c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</row>
    <row r="1432">
      <c r="A1432" s="54">
        <f t="shared" si="12"/>
        <v>45213</v>
      </c>
      <c r="B1432" s="8">
        <f t="shared" si="13"/>
        <v>732819759.5</v>
      </c>
      <c r="C1432" s="8">
        <f t="shared" si="14"/>
        <v>0.002671232877</v>
      </c>
      <c r="D1432" s="8">
        <v>4327.78</v>
      </c>
      <c r="E1432" s="8">
        <f t="shared" si="17"/>
        <v>0</v>
      </c>
      <c r="F1432" s="53">
        <v>5.036944738</v>
      </c>
      <c r="G1432" s="8">
        <f t="shared" si="16"/>
        <v>0.000137998486</v>
      </c>
      <c r="H1432" s="8">
        <f t="shared" si="11"/>
        <v>4327.78</v>
      </c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</row>
    <row r="1433">
      <c r="A1433" s="54">
        <f t="shared" si="12"/>
        <v>45214</v>
      </c>
      <c r="B1433" s="8">
        <f t="shared" si="13"/>
        <v>734777291.7</v>
      </c>
      <c r="C1433" s="8">
        <f t="shared" si="14"/>
        <v>0.002671232877</v>
      </c>
      <c r="D1433" s="8">
        <v>4327.78</v>
      </c>
      <c r="E1433" s="8">
        <f t="shared" si="17"/>
        <v>0</v>
      </c>
      <c r="F1433" s="53">
        <v>5.025612538</v>
      </c>
      <c r="G1433" s="8">
        <f t="shared" si="16"/>
        <v>0.0001376880147</v>
      </c>
      <c r="H1433" s="8">
        <f t="shared" si="11"/>
        <v>4327.78</v>
      </c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</row>
    <row r="1434">
      <c r="A1434" s="54">
        <f t="shared" si="12"/>
        <v>45215</v>
      </c>
      <c r="B1434" s="8">
        <f t="shared" si="13"/>
        <v>736740053</v>
      </c>
      <c r="C1434" s="8">
        <f t="shared" si="14"/>
        <v>0.002671232877</v>
      </c>
      <c r="D1434" s="8">
        <v>4373.63</v>
      </c>
      <c r="E1434" s="8">
        <f t="shared" si="17"/>
        <v>0.01059434629</v>
      </c>
      <c r="F1434" s="53">
        <v>4.960176377</v>
      </c>
      <c r="G1434" s="8">
        <f t="shared" si="16"/>
        <v>0.0001358952432</v>
      </c>
      <c r="H1434" s="8">
        <f t="shared" si="11"/>
        <v>4373.63</v>
      </c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</row>
    <row r="1435">
      <c r="A1435" s="54">
        <f t="shared" si="12"/>
        <v>45216</v>
      </c>
      <c r="B1435" s="8">
        <f t="shared" si="13"/>
        <v>738708057.2</v>
      </c>
      <c r="C1435" s="8">
        <f t="shared" si="14"/>
        <v>0.002671232877</v>
      </c>
      <c r="D1435" s="8">
        <v>4373.2</v>
      </c>
      <c r="E1435" s="8">
        <f t="shared" si="17"/>
        <v>-0.0000983165014</v>
      </c>
      <c r="F1435" s="53">
        <v>5.036384266</v>
      </c>
      <c r="G1435" s="8">
        <f t="shared" si="16"/>
        <v>0.0001379831306</v>
      </c>
      <c r="H1435" s="8">
        <f t="shared" si="11"/>
        <v>4373.2</v>
      </c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</row>
    <row r="1436">
      <c r="A1436" s="54">
        <f t="shared" si="12"/>
        <v>45217</v>
      </c>
      <c r="B1436" s="8">
        <f t="shared" si="13"/>
        <v>740681318.5</v>
      </c>
      <c r="C1436" s="8">
        <f t="shared" si="14"/>
        <v>0.002671232877</v>
      </c>
      <c r="D1436" s="8">
        <v>4314.6</v>
      </c>
      <c r="E1436" s="8">
        <f t="shared" si="17"/>
        <v>-0.01339979877</v>
      </c>
      <c r="F1436" s="53">
        <v>5.012238886</v>
      </c>
      <c r="G1436" s="8">
        <f t="shared" si="16"/>
        <v>0.0001373216133</v>
      </c>
      <c r="H1436" s="8">
        <f t="shared" si="11"/>
        <v>4314.6</v>
      </c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</row>
    <row r="1437">
      <c r="A1437" s="54">
        <f t="shared" si="12"/>
        <v>45218</v>
      </c>
      <c r="B1437" s="8">
        <f t="shared" si="13"/>
        <v>742659850.8</v>
      </c>
      <c r="C1437" s="8">
        <f t="shared" si="14"/>
        <v>0.002671232877</v>
      </c>
      <c r="D1437" s="8">
        <v>4278.0</v>
      </c>
      <c r="E1437" s="8">
        <f t="shared" si="17"/>
        <v>-0.008482825754</v>
      </c>
      <c r="F1437" s="53">
        <v>4.954208847</v>
      </c>
      <c r="G1437" s="8">
        <f t="shared" si="16"/>
        <v>0.0001357317492</v>
      </c>
      <c r="H1437" s="8">
        <f t="shared" si="11"/>
        <v>4278</v>
      </c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</row>
    <row r="1438">
      <c r="A1438" s="54">
        <f t="shared" si="12"/>
        <v>45219</v>
      </c>
      <c r="B1438" s="8">
        <f t="shared" si="13"/>
        <v>744643668.2</v>
      </c>
      <c r="C1438" s="8">
        <f t="shared" si="14"/>
        <v>0.002671232877</v>
      </c>
      <c r="D1438" s="8">
        <v>4224.16</v>
      </c>
      <c r="E1438" s="8">
        <f t="shared" si="17"/>
        <v>-0.01258532024</v>
      </c>
      <c r="F1438" s="53">
        <v>4.962131419</v>
      </c>
      <c r="G1438" s="8">
        <f t="shared" si="16"/>
        <v>0.000135948806</v>
      </c>
      <c r="H1438" s="8">
        <f t="shared" si="11"/>
        <v>4224.16</v>
      </c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</row>
    <row r="1439">
      <c r="A1439" s="54">
        <f t="shared" si="12"/>
        <v>45220</v>
      </c>
      <c r="B1439" s="8">
        <f t="shared" si="13"/>
        <v>746632784.8</v>
      </c>
      <c r="C1439" s="8">
        <f t="shared" si="14"/>
        <v>0.002671232877</v>
      </c>
      <c r="D1439" s="8">
        <v>4224.16</v>
      </c>
      <c r="E1439" s="8">
        <f t="shared" si="17"/>
        <v>0</v>
      </c>
      <c r="F1439" s="53">
        <v>5.019473093</v>
      </c>
      <c r="G1439" s="8">
        <f t="shared" si="16"/>
        <v>0.0001375198108</v>
      </c>
      <c r="H1439" s="8">
        <f t="shared" si="11"/>
        <v>4224.16</v>
      </c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</row>
    <row r="1440">
      <c r="A1440" s="54">
        <f t="shared" si="12"/>
        <v>45221</v>
      </c>
      <c r="B1440" s="8">
        <f t="shared" si="13"/>
        <v>748627214.9</v>
      </c>
      <c r="C1440" s="8">
        <f t="shared" si="14"/>
        <v>0.002671232877</v>
      </c>
      <c r="D1440" s="8">
        <v>4224.16</v>
      </c>
      <c r="E1440" s="8">
        <f t="shared" si="17"/>
        <v>0</v>
      </c>
      <c r="F1440" s="53">
        <v>4.994257192</v>
      </c>
      <c r="G1440" s="8">
        <f t="shared" si="16"/>
        <v>0.0001368289642</v>
      </c>
      <c r="H1440" s="8">
        <f t="shared" si="11"/>
        <v>4224.16</v>
      </c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</row>
    <row r="1441">
      <c r="A1441" s="54">
        <f t="shared" si="12"/>
        <v>45222</v>
      </c>
      <c r="B1441" s="8">
        <f t="shared" si="13"/>
        <v>750626972.5</v>
      </c>
      <c r="C1441" s="8">
        <f t="shared" si="14"/>
        <v>0.002671232877</v>
      </c>
      <c r="D1441" s="8">
        <v>4217.04</v>
      </c>
      <c r="E1441" s="8">
        <f t="shared" si="17"/>
        <v>-0.001685542214</v>
      </c>
      <c r="F1441" s="53">
        <v>5.000795081</v>
      </c>
      <c r="G1441" s="8">
        <f t="shared" si="16"/>
        <v>0.0001370080844</v>
      </c>
      <c r="H1441" s="8">
        <f t="shared" si="11"/>
        <v>4217.04</v>
      </c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</row>
    <row r="1442">
      <c r="A1442" s="54">
        <f t="shared" si="12"/>
        <v>45223</v>
      </c>
      <c r="B1442" s="8">
        <f t="shared" si="13"/>
        <v>752632072</v>
      </c>
      <c r="C1442" s="8">
        <f t="shared" si="14"/>
        <v>0.002671232877</v>
      </c>
      <c r="D1442" s="8">
        <v>4247.68</v>
      </c>
      <c r="E1442" s="8">
        <f t="shared" si="17"/>
        <v>0.007265759869</v>
      </c>
      <c r="F1442" s="53">
        <v>5.08962434</v>
      </c>
      <c r="G1442" s="8">
        <f t="shared" si="16"/>
        <v>0.0001394417627</v>
      </c>
      <c r="H1442" s="8">
        <f t="shared" si="11"/>
        <v>4247.68</v>
      </c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</row>
    <row r="1443">
      <c r="A1443" s="54">
        <f t="shared" si="12"/>
        <v>45224</v>
      </c>
      <c r="B1443" s="8">
        <f t="shared" si="13"/>
        <v>754642527.5</v>
      </c>
      <c r="C1443" s="8">
        <f t="shared" si="14"/>
        <v>0.002671232877</v>
      </c>
      <c r="D1443" s="8">
        <v>4186.77</v>
      </c>
      <c r="E1443" s="8">
        <f t="shared" si="17"/>
        <v>-0.01433959244</v>
      </c>
      <c r="F1443" s="53">
        <v>5.099156316</v>
      </c>
      <c r="G1443" s="8">
        <f t="shared" si="16"/>
        <v>0.0001397029128</v>
      </c>
      <c r="H1443" s="8">
        <f t="shared" si="11"/>
        <v>4186.77</v>
      </c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</row>
    <row r="1444">
      <c r="A1444" s="54">
        <f t="shared" si="12"/>
        <v>45225</v>
      </c>
      <c r="B1444" s="8">
        <f t="shared" si="13"/>
        <v>756658353.4</v>
      </c>
      <c r="C1444" s="8">
        <f t="shared" si="14"/>
        <v>0.002671232877</v>
      </c>
      <c r="D1444" s="8">
        <v>4137.23</v>
      </c>
      <c r="E1444" s="8">
        <f t="shared" si="17"/>
        <v>-0.0118325105</v>
      </c>
      <c r="F1444" s="53">
        <v>4.962447345</v>
      </c>
      <c r="G1444" s="8">
        <f t="shared" si="16"/>
        <v>0.0001359574615</v>
      </c>
      <c r="H1444" s="8">
        <f t="shared" si="11"/>
        <v>4137.23</v>
      </c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</row>
    <row r="1445">
      <c r="A1445" s="54">
        <f t="shared" si="12"/>
        <v>45226</v>
      </c>
      <c r="B1445" s="8">
        <f t="shared" si="13"/>
        <v>758679564.1</v>
      </c>
      <c r="C1445" s="8">
        <f t="shared" si="14"/>
        <v>0.002671232877</v>
      </c>
      <c r="D1445" s="8">
        <v>4117.37</v>
      </c>
      <c r="E1445" s="8">
        <f t="shared" si="17"/>
        <v>-0.004800313253</v>
      </c>
      <c r="F1445" s="53">
        <v>4.999347088</v>
      </c>
      <c r="G1445" s="8">
        <f t="shared" si="16"/>
        <v>0.0001369684134</v>
      </c>
      <c r="H1445" s="8">
        <f t="shared" si="11"/>
        <v>4117.37</v>
      </c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</row>
    <row r="1446">
      <c r="A1446" s="54">
        <f t="shared" si="12"/>
        <v>45227</v>
      </c>
      <c r="B1446" s="8">
        <f t="shared" si="13"/>
        <v>760706173.9</v>
      </c>
      <c r="C1446" s="8">
        <f t="shared" si="14"/>
        <v>0.002671232877</v>
      </c>
      <c r="D1446" s="8">
        <v>4117.37</v>
      </c>
      <c r="E1446" s="8">
        <f t="shared" si="17"/>
        <v>0</v>
      </c>
      <c r="F1446" s="53">
        <v>4.921110054</v>
      </c>
      <c r="G1446" s="8">
        <f t="shared" si="16"/>
        <v>0.000134824933</v>
      </c>
      <c r="H1446" s="8">
        <f t="shared" si="11"/>
        <v>4117.37</v>
      </c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</row>
    <row r="1447">
      <c r="A1447" s="54">
        <f t="shared" si="12"/>
        <v>45228</v>
      </c>
      <c r="B1447" s="8">
        <f t="shared" si="13"/>
        <v>762738197.2</v>
      </c>
      <c r="C1447" s="8">
        <f t="shared" si="14"/>
        <v>0.002671232877</v>
      </c>
      <c r="D1447" s="8">
        <v>4117.37</v>
      </c>
      <c r="E1447" s="8">
        <f t="shared" si="17"/>
        <v>0</v>
      </c>
      <c r="F1447" s="53">
        <v>4.977168497</v>
      </c>
      <c r="G1447" s="8">
        <f t="shared" si="16"/>
        <v>0.0001363607807</v>
      </c>
      <c r="H1447" s="8">
        <f t="shared" si="11"/>
        <v>4117.37</v>
      </c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</row>
    <row r="1448">
      <c r="A1448" s="54">
        <f t="shared" si="12"/>
        <v>45229</v>
      </c>
      <c r="B1448" s="8">
        <f t="shared" si="13"/>
        <v>764775648.6</v>
      </c>
      <c r="C1448" s="8">
        <f t="shared" si="14"/>
        <v>0.002671232877</v>
      </c>
      <c r="D1448" s="8">
        <v>4166.82</v>
      </c>
      <c r="E1448" s="8">
        <f t="shared" si="17"/>
        <v>0.01201009382</v>
      </c>
      <c r="F1448" s="53">
        <v>5.036476701</v>
      </c>
      <c r="G1448" s="8">
        <f t="shared" si="16"/>
        <v>0.000137985663</v>
      </c>
      <c r="H1448" s="8">
        <f t="shared" si="11"/>
        <v>4166.82</v>
      </c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</row>
    <row r="1449">
      <c r="A1449" s="54">
        <f t="shared" si="12"/>
        <v>45230</v>
      </c>
      <c r="B1449" s="8">
        <f t="shared" si="13"/>
        <v>766818542.4</v>
      </c>
      <c r="C1449" s="8">
        <f t="shared" si="14"/>
        <v>0.002671232877</v>
      </c>
      <c r="D1449" s="8">
        <v>4193.8</v>
      </c>
      <c r="E1449" s="8">
        <f t="shared" si="17"/>
        <v>0.006474961721</v>
      </c>
      <c r="F1449" s="53">
        <v>5.121921283</v>
      </c>
      <c r="G1449" s="8">
        <f t="shared" si="16"/>
        <v>0.0001403266105</v>
      </c>
      <c r="H1449" s="8">
        <f t="shared" si="11"/>
        <v>4193.8</v>
      </c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</row>
    <row r="1450">
      <c r="A1450" s="54">
        <f t="shared" si="12"/>
        <v>45231</v>
      </c>
      <c r="B1450" s="8">
        <f t="shared" si="13"/>
        <v>768866893.3</v>
      </c>
      <c r="C1450" s="8">
        <f t="shared" si="14"/>
        <v>0.002671232877</v>
      </c>
      <c r="D1450" s="8">
        <v>4237.86</v>
      </c>
      <c r="E1450" s="8">
        <f t="shared" si="17"/>
        <v>0.01050598503</v>
      </c>
      <c r="F1450" s="53">
        <v>5.135730504</v>
      </c>
      <c r="G1450" s="8">
        <f t="shared" si="16"/>
        <v>0.0001407049453</v>
      </c>
      <c r="H1450" s="8">
        <f t="shared" si="11"/>
        <v>4237.86</v>
      </c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</row>
    <row r="1451">
      <c r="A1451" s="54">
        <f t="shared" si="12"/>
        <v>45232</v>
      </c>
      <c r="B1451" s="8">
        <f t="shared" si="13"/>
        <v>770920715.8</v>
      </c>
      <c r="C1451" s="8">
        <f t="shared" si="14"/>
        <v>0.002671232877</v>
      </c>
      <c r="D1451" s="8">
        <v>4317.78</v>
      </c>
      <c r="E1451" s="8">
        <f t="shared" si="17"/>
        <v>0.01885857485</v>
      </c>
      <c r="F1451" s="53">
        <v>5.00227237</v>
      </c>
      <c r="G1451" s="8">
        <f t="shared" si="16"/>
        <v>0.0001370485581</v>
      </c>
      <c r="H1451" s="8">
        <f t="shared" si="11"/>
        <v>4317.78</v>
      </c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</row>
    <row r="1452">
      <c r="A1452" s="54">
        <f t="shared" si="12"/>
        <v>45233</v>
      </c>
      <c r="B1452" s="8">
        <f t="shared" si="13"/>
        <v>772980024.6</v>
      </c>
      <c r="C1452" s="8">
        <f t="shared" si="14"/>
        <v>0.002671232877</v>
      </c>
      <c r="D1452" s="8">
        <v>4358.34</v>
      </c>
      <c r="E1452" s="8">
        <f t="shared" si="17"/>
        <v>0.009393716215</v>
      </c>
      <c r="F1452" s="53">
        <v>4.946401468</v>
      </c>
      <c r="G1452" s="8">
        <f t="shared" si="16"/>
        <v>0.0001355178484</v>
      </c>
      <c r="H1452" s="8">
        <f t="shared" si="11"/>
        <v>4358.34</v>
      </c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</row>
    <row r="1453">
      <c r="A1453" s="54">
        <f t="shared" si="12"/>
        <v>45234</v>
      </c>
      <c r="B1453" s="8">
        <f t="shared" si="13"/>
        <v>775044834.3</v>
      </c>
      <c r="C1453" s="8">
        <f t="shared" si="14"/>
        <v>0.002671232877</v>
      </c>
      <c r="D1453" s="8">
        <v>4358.34</v>
      </c>
      <c r="E1453" s="8">
        <f t="shared" si="17"/>
        <v>0</v>
      </c>
      <c r="F1453" s="53">
        <v>5.063376714</v>
      </c>
      <c r="G1453" s="8">
        <f t="shared" si="16"/>
        <v>0.0001387226497</v>
      </c>
      <c r="H1453" s="8">
        <f t="shared" si="11"/>
        <v>4358.34</v>
      </c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</row>
    <row r="1454">
      <c r="A1454" s="54">
        <f t="shared" si="12"/>
        <v>45235</v>
      </c>
      <c r="B1454" s="8">
        <f t="shared" si="13"/>
        <v>777115159.5</v>
      </c>
      <c r="C1454" s="8">
        <f t="shared" si="14"/>
        <v>0.002671232877</v>
      </c>
      <c r="D1454" s="8">
        <v>4358.34</v>
      </c>
      <c r="E1454" s="8">
        <f t="shared" si="17"/>
        <v>0</v>
      </c>
      <c r="F1454" s="53">
        <v>4.907770817</v>
      </c>
      <c r="G1454" s="8">
        <f t="shared" si="16"/>
        <v>0.0001344594744</v>
      </c>
      <c r="H1454" s="8">
        <f t="shared" si="11"/>
        <v>4358.34</v>
      </c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</row>
    <row r="1455">
      <c r="A1455" s="54">
        <f t="shared" si="12"/>
        <v>45236</v>
      </c>
      <c r="B1455" s="8">
        <f t="shared" si="13"/>
        <v>779191015.1</v>
      </c>
      <c r="C1455" s="8">
        <f t="shared" si="14"/>
        <v>0.002671232877</v>
      </c>
      <c r="D1455" s="8">
        <v>4365.98</v>
      </c>
      <c r="E1455" s="8">
        <f t="shared" si="17"/>
        <v>0.00175296099</v>
      </c>
      <c r="F1455" s="53">
        <v>4.978145547</v>
      </c>
      <c r="G1455" s="8">
        <f t="shared" si="16"/>
        <v>0.0001363875492</v>
      </c>
      <c r="H1455" s="8">
        <f t="shared" si="11"/>
        <v>4365.98</v>
      </c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</row>
    <row r="1456">
      <c r="A1456" s="54">
        <f t="shared" si="12"/>
        <v>45237</v>
      </c>
      <c r="B1456" s="8">
        <f t="shared" si="13"/>
        <v>781272415.7</v>
      </c>
      <c r="C1456" s="8">
        <f t="shared" si="14"/>
        <v>0.002671232877</v>
      </c>
      <c r="D1456" s="8">
        <v>4378.38</v>
      </c>
      <c r="E1456" s="8">
        <f t="shared" si="17"/>
        <v>0.002840141274</v>
      </c>
      <c r="F1456" s="53">
        <v>4.958376164</v>
      </c>
      <c r="G1456" s="8">
        <f t="shared" si="16"/>
        <v>0.0001358459223</v>
      </c>
      <c r="H1456" s="8">
        <f t="shared" si="11"/>
        <v>4378.38</v>
      </c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</row>
    <row r="1457">
      <c r="A1457" s="54">
        <f t="shared" si="12"/>
        <v>45238</v>
      </c>
      <c r="B1457" s="8">
        <f t="shared" si="13"/>
        <v>783359376.3</v>
      </c>
      <c r="C1457" s="8">
        <f t="shared" si="14"/>
        <v>0.002671232877</v>
      </c>
      <c r="D1457" s="8">
        <v>4382.78</v>
      </c>
      <c r="E1457" s="8">
        <f t="shared" si="17"/>
        <v>0.001004937899</v>
      </c>
      <c r="F1457" s="53">
        <v>5.026512886</v>
      </c>
      <c r="G1457" s="8">
        <f t="shared" si="16"/>
        <v>0.0001377126818</v>
      </c>
      <c r="H1457" s="8">
        <f t="shared" si="11"/>
        <v>4382.78</v>
      </c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</row>
    <row r="1458">
      <c r="A1458" s="54">
        <f t="shared" si="12"/>
        <v>45239</v>
      </c>
      <c r="B1458" s="8">
        <f t="shared" si="13"/>
        <v>785451911.6</v>
      </c>
      <c r="C1458" s="8">
        <f t="shared" si="14"/>
        <v>0.002671232877</v>
      </c>
      <c r="D1458" s="8">
        <v>4347.35</v>
      </c>
      <c r="E1458" s="8">
        <f t="shared" si="17"/>
        <v>-0.008083910212</v>
      </c>
      <c r="F1458" s="53">
        <v>5.00629213</v>
      </c>
      <c r="G1458" s="8">
        <f t="shared" si="16"/>
        <v>0.0001371586885</v>
      </c>
      <c r="H1458" s="8">
        <f t="shared" si="11"/>
        <v>4347.35</v>
      </c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</row>
    <row r="1459">
      <c r="A1459" s="54">
        <f t="shared" si="12"/>
        <v>45240</v>
      </c>
      <c r="B1459" s="8">
        <f t="shared" si="13"/>
        <v>787550036.6</v>
      </c>
      <c r="C1459" s="8">
        <f t="shared" si="14"/>
        <v>0.002671232877</v>
      </c>
      <c r="D1459" s="8">
        <v>4415.24</v>
      </c>
      <c r="E1459" s="8">
        <f t="shared" si="17"/>
        <v>0.01561641</v>
      </c>
      <c r="F1459" s="53">
        <v>4.981727173</v>
      </c>
      <c r="G1459" s="8">
        <f t="shared" si="16"/>
        <v>0.000136485676</v>
      </c>
      <c r="H1459" s="8">
        <f t="shared" si="11"/>
        <v>4415.24</v>
      </c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</row>
    <row r="1460">
      <c r="A1460" s="54">
        <f t="shared" si="12"/>
        <v>45241</v>
      </c>
      <c r="B1460" s="8">
        <f t="shared" si="13"/>
        <v>789653766.1</v>
      </c>
      <c r="C1460" s="8">
        <f t="shared" si="14"/>
        <v>0.002671232877</v>
      </c>
      <c r="D1460" s="8">
        <v>4415.24</v>
      </c>
      <c r="E1460" s="8">
        <f t="shared" si="17"/>
        <v>0</v>
      </c>
      <c r="F1460" s="53">
        <v>5.025852846</v>
      </c>
      <c r="G1460" s="8">
        <f t="shared" si="16"/>
        <v>0.0001376945985</v>
      </c>
      <c r="H1460" s="8">
        <f t="shared" si="11"/>
        <v>4415.24</v>
      </c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</row>
    <row r="1461">
      <c r="A1461" s="54">
        <f t="shared" si="12"/>
        <v>45242</v>
      </c>
      <c r="B1461" s="8">
        <f t="shared" si="13"/>
        <v>791763115.2</v>
      </c>
      <c r="C1461" s="8">
        <f t="shared" si="14"/>
        <v>0.002671232877</v>
      </c>
      <c r="D1461" s="8">
        <v>4415.24</v>
      </c>
      <c r="E1461" s="8">
        <f t="shared" si="17"/>
        <v>0</v>
      </c>
      <c r="F1461" s="53">
        <v>5.110963263</v>
      </c>
      <c r="G1461" s="8">
        <f t="shared" si="16"/>
        <v>0.0001400263908</v>
      </c>
      <c r="H1461" s="8">
        <f t="shared" si="11"/>
        <v>4415.24</v>
      </c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</row>
    <row r="1462">
      <c r="A1462" s="54">
        <f t="shared" si="12"/>
        <v>45243</v>
      </c>
      <c r="B1462" s="8">
        <f t="shared" si="13"/>
        <v>793878098.9</v>
      </c>
      <c r="C1462" s="8">
        <f t="shared" si="14"/>
        <v>0.002671232877</v>
      </c>
      <c r="D1462" s="8">
        <v>4411.55</v>
      </c>
      <c r="E1462" s="8">
        <f t="shared" si="17"/>
        <v>-0.0008357416584</v>
      </c>
      <c r="F1462" s="53">
        <v>5.077767005</v>
      </c>
      <c r="G1462" s="8">
        <f t="shared" si="16"/>
        <v>0.0001391169042</v>
      </c>
      <c r="H1462" s="8">
        <f t="shared" si="11"/>
        <v>4411.55</v>
      </c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</row>
    <row r="1463">
      <c r="A1463" s="54">
        <f t="shared" si="12"/>
        <v>45244</v>
      </c>
      <c r="B1463" s="8">
        <f t="shared" si="13"/>
        <v>795998732.2</v>
      </c>
      <c r="C1463" s="8">
        <f t="shared" si="14"/>
        <v>0.002671232877</v>
      </c>
      <c r="D1463" s="8">
        <v>4495.7</v>
      </c>
      <c r="E1463" s="8">
        <f t="shared" si="17"/>
        <v>0.01907492831</v>
      </c>
      <c r="F1463" s="53">
        <v>5.033235107</v>
      </c>
      <c r="G1463" s="8">
        <f t="shared" si="16"/>
        <v>0.0001378968522</v>
      </c>
      <c r="H1463" s="8">
        <f t="shared" si="11"/>
        <v>4495.7</v>
      </c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</row>
    <row r="1464">
      <c r="A1464" s="54">
        <f t="shared" si="12"/>
        <v>45245</v>
      </c>
      <c r="B1464" s="8">
        <f t="shared" si="13"/>
        <v>798125030.2</v>
      </c>
      <c r="C1464" s="8">
        <f t="shared" si="14"/>
        <v>0.002671232877</v>
      </c>
      <c r="D1464" s="8">
        <v>4502.88</v>
      </c>
      <c r="E1464" s="8">
        <f t="shared" si="17"/>
        <v>0.001597081656</v>
      </c>
      <c r="F1464" s="53">
        <v>5.066713315</v>
      </c>
      <c r="G1464" s="8">
        <f t="shared" si="16"/>
        <v>0.0001388140634</v>
      </c>
      <c r="H1464" s="8">
        <f t="shared" si="11"/>
        <v>4502.88</v>
      </c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</row>
    <row r="1465">
      <c r="A1465" s="54">
        <f t="shared" si="12"/>
        <v>45246</v>
      </c>
      <c r="B1465" s="8">
        <f t="shared" si="13"/>
        <v>800257008</v>
      </c>
      <c r="C1465" s="8">
        <f t="shared" si="14"/>
        <v>0.002671232877</v>
      </c>
      <c r="D1465" s="8">
        <v>4508.24</v>
      </c>
      <c r="E1465" s="8">
        <f t="shared" si="17"/>
        <v>0.001190349288</v>
      </c>
      <c r="F1465" s="53">
        <v>4.936398687</v>
      </c>
      <c r="G1465" s="8">
        <f t="shared" si="16"/>
        <v>0.0001352437996</v>
      </c>
      <c r="H1465" s="8">
        <f t="shared" si="11"/>
        <v>4508.24</v>
      </c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</row>
    <row r="1466">
      <c r="A1466" s="54">
        <f t="shared" si="12"/>
        <v>45247</v>
      </c>
      <c r="B1466" s="8">
        <f t="shared" si="13"/>
        <v>802394680.8</v>
      </c>
      <c r="C1466" s="8">
        <f t="shared" si="14"/>
        <v>0.002671232877</v>
      </c>
      <c r="D1466" s="8">
        <v>4514.02</v>
      </c>
      <c r="E1466" s="8">
        <f t="shared" si="17"/>
        <v>0.001282096783</v>
      </c>
      <c r="F1466" s="53">
        <v>5.015789054</v>
      </c>
      <c r="G1466" s="8">
        <f t="shared" si="16"/>
        <v>0.0001374188782</v>
      </c>
      <c r="H1466" s="8">
        <f t="shared" si="11"/>
        <v>4514.02</v>
      </c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</row>
    <row r="1467">
      <c r="A1467" s="54">
        <f t="shared" si="12"/>
        <v>45248</v>
      </c>
      <c r="B1467" s="8">
        <f t="shared" si="13"/>
        <v>804538063.9</v>
      </c>
      <c r="C1467" s="8">
        <f t="shared" si="14"/>
        <v>0.002671232877</v>
      </c>
      <c r="D1467" s="8">
        <v>4514.02</v>
      </c>
      <c r="E1467" s="8">
        <f t="shared" si="17"/>
        <v>0</v>
      </c>
      <c r="F1467" s="53">
        <v>5.060938858</v>
      </c>
      <c r="G1467" s="8">
        <f t="shared" si="16"/>
        <v>0.0001386558591</v>
      </c>
      <c r="H1467" s="8">
        <f t="shared" si="11"/>
        <v>4514.02</v>
      </c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</row>
    <row r="1468">
      <c r="A1468" s="54">
        <f t="shared" si="12"/>
        <v>45249</v>
      </c>
      <c r="B1468" s="8">
        <f t="shared" si="13"/>
        <v>806687172.4</v>
      </c>
      <c r="C1468" s="8">
        <f t="shared" si="14"/>
        <v>0.002671232877</v>
      </c>
      <c r="D1468" s="8">
        <v>4514.02</v>
      </c>
      <c r="E1468" s="8">
        <f t="shared" si="17"/>
        <v>0</v>
      </c>
      <c r="F1468" s="53">
        <v>4.949009595</v>
      </c>
      <c r="G1468" s="8">
        <f t="shared" si="16"/>
        <v>0.000135589304</v>
      </c>
      <c r="H1468" s="8">
        <f t="shared" si="11"/>
        <v>4514.02</v>
      </c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</row>
    <row r="1469">
      <c r="A1469" s="54">
        <f t="shared" si="12"/>
        <v>45250</v>
      </c>
      <c r="B1469" s="8">
        <f t="shared" si="13"/>
        <v>808842021.7</v>
      </c>
      <c r="C1469" s="8">
        <f t="shared" si="14"/>
        <v>0.002671232877</v>
      </c>
      <c r="D1469" s="8">
        <v>4547.38</v>
      </c>
      <c r="E1469" s="8">
        <f t="shared" si="17"/>
        <v>0.007390308417</v>
      </c>
      <c r="F1469" s="53">
        <v>5.007500654</v>
      </c>
      <c r="G1469" s="8">
        <f t="shared" si="16"/>
        <v>0.0001371917987</v>
      </c>
      <c r="H1469" s="8">
        <f t="shared" si="11"/>
        <v>4547.38</v>
      </c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</row>
    <row r="1470">
      <c r="A1470" s="54">
        <f t="shared" si="12"/>
        <v>45251</v>
      </c>
      <c r="B1470" s="8">
        <f t="shared" si="13"/>
        <v>811002627.1</v>
      </c>
      <c r="C1470" s="8">
        <f t="shared" si="14"/>
        <v>0.002671232877</v>
      </c>
      <c r="D1470" s="8">
        <v>4538.19</v>
      </c>
      <c r="E1470" s="8">
        <f t="shared" si="17"/>
        <v>-0.002020943928</v>
      </c>
      <c r="F1470" s="53">
        <v>5.051595995</v>
      </c>
      <c r="G1470" s="8">
        <f t="shared" si="16"/>
        <v>0.0001383998903</v>
      </c>
      <c r="H1470" s="8">
        <f t="shared" si="11"/>
        <v>4538.19</v>
      </c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</row>
    <row r="1471">
      <c r="A1471" s="54">
        <f t="shared" si="12"/>
        <v>45252</v>
      </c>
      <c r="B1471" s="8">
        <f t="shared" si="13"/>
        <v>813169004</v>
      </c>
      <c r="C1471" s="8">
        <f t="shared" si="14"/>
        <v>0.002671232877</v>
      </c>
      <c r="D1471" s="8">
        <v>4556.62</v>
      </c>
      <c r="E1471" s="8">
        <f t="shared" si="17"/>
        <v>0.004061090435</v>
      </c>
      <c r="F1471" s="53">
        <v>4.994299283</v>
      </c>
      <c r="G1471" s="8">
        <f t="shared" si="16"/>
        <v>0.0001368301173</v>
      </c>
      <c r="H1471" s="8">
        <f t="shared" si="11"/>
        <v>4556.62</v>
      </c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</row>
    <row r="1472">
      <c r="A1472" s="54">
        <f t="shared" si="12"/>
        <v>45253</v>
      </c>
      <c r="B1472" s="8">
        <f t="shared" si="13"/>
        <v>815341167.7</v>
      </c>
      <c r="C1472" s="8">
        <f t="shared" si="14"/>
        <v>0.002671232877</v>
      </c>
      <c r="D1472" s="8">
        <v>4556.62</v>
      </c>
      <c r="E1472" s="8">
        <f t="shared" si="17"/>
        <v>0</v>
      </c>
      <c r="F1472" s="53">
        <v>4.979941723</v>
      </c>
      <c r="G1472" s="8">
        <f t="shared" si="16"/>
        <v>0.0001364367595</v>
      </c>
      <c r="H1472" s="8">
        <f t="shared" si="11"/>
        <v>4556.62</v>
      </c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</row>
    <row r="1473">
      <c r="A1473" s="54">
        <f t="shared" si="12"/>
        <v>45254</v>
      </c>
      <c r="B1473" s="8">
        <f t="shared" si="13"/>
        <v>817519133.9</v>
      </c>
      <c r="C1473" s="8">
        <f t="shared" si="14"/>
        <v>0.002671232877</v>
      </c>
      <c r="D1473" s="8">
        <v>4559.34</v>
      </c>
      <c r="E1473" s="8">
        <f t="shared" si="17"/>
        <v>0.0005969336921</v>
      </c>
      <c r="F1473" s="53">
        <v>4.994906279</v>
      </c>
      <c r="G1473" s="8">
        <f t="shared" si="16"/>
        <v>0.0001368467474</v>
      </c>
      <c r="H1473" s="8">
        <f t="shared" si="11"/>
        <v>4559.34</v>
      </c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</row>
    <row r="1474">
      <c r="A1474" s="54">
        <f t="shared" si="12"/>
        <v>45255</v>
      </c>
      <c r="B1474" s="8">
        <f t="shared" si="13"/>
        <v>819702917.9</v>
      </c>
      <c r="C1474" s="8">
        <f t="shared" si="14"/>
        <v>0.002671232877</v>
      </c>
      <c r="D1474" s="8">
        <v>4559.34</v>
      </c>
      <c r="E1474" s="8">
        <f t="shared" si="17"/>
        <v>0</v>
      </c>
      <c r="F1474" s="53">
        <v>4.957118075</v>
      </c>
      <c r="G1474" s="8">
        <f t="shared" si="16"/>
        <v>0.0001358114541</v>
      </c>
      <c r="H1474" s="8">
        <f t="shared" si="11"/>
        <v>4559.34</v>
      </c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</row>
    <row r="1475">
      <c r="A1475" s="54">
        <f t="shared" si="12"/>
        <v>45256</v>
      </c>
      <c r="B1475" s="8">
        <f t="shared" si="13"/>
        <v>821892535.2</v>
      </c>
      <c r="C1475" s="8">
        <f t="shared" si="14"/>
        <v>0.002671232877</v>
      </c>
      <c r="D1475" s="8">
        <v>4559.34</v>
      </c>
      <c r="E1475" s="8">
        <f t="shared" si="17"/>
        <v>0</v>
      </c>
      <c r="F1475" s="53">
        <v>5.058392487</v>
      </c>
      <c r="G1475" s="8">
        <f t="shared" si="16"/>
        <v>0.0001385860955</v>
      </c>
      <c r="H1475" s="8">
        <f t="shared" si="11"/>
        <v>4559.34</v>
      </c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</row>
    <row r="1476">
      <c r="A1476" s="54">
        <f t="shared" si="12"/>
        <v>45257</v>
      </c>
      <c r="B1476" s="8">
        <f t="shared" si="13"/>
        <v>824088001.6</v>
      </c>
      <c r="C1476" s="8">
        <f t="shared" si="14"/>
        <v>0.002671232877</v>
      </c>
      <c r="D1476" s="8">
        <v>4550.43</v>
      </c>
      <c r="E1476" s="8">
        <f t="shared" si="17"/>
        <v>-0.001954230218</v>
      </c>
      <c r="F1476" s="53">
        <v>4.990792542</v>
      </c>
      <c r="G1476" s="8">
        <f t="shared" si="16"/>
        <v>0.0001367340422</v>
      </c>
      <c r="H1476" s="8">
        <f t="shared" si="11"/>
        <v>4550.43</v>
      </c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</row>
    <row r="1477">
      <c r="A1477" s="54">
        <f t="shared" si="12"/>
        <v>45258</v>
      </c>
      <c r="B1477" s="8">
        <f t="shared" si="13"/>
        <v>826289332.6</v>
      </c>
      <c r="C1477" s="8">
        <f t="shared" si="14"/>
        <v>0.002671232877</v>
      </c>
      <c r="D1477" s="8">
        <v>4554.89</v>
      </c>
      <c r="E1477" s="8">
        <f t="shared" si="17"/>
        <v>0.0009801271528</v>
      </c>
      <c r="F1477" s="53">
        <v>4.957884105</v>
      </c>
      <c r="G1477" s="8">
        <f t="shared" si="16"/>
        <v>0.0001358324412</v>
      </c>
      <c r="H1477" s="8">
        <f t="shared" si="11"/>
        <v>4554.89</v>
      </c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</row>
    <row r="1478">
      <c r="A1478" s="54">
        <f t="shared" si="12"/>
        <v>45259</v>
      </c>
      <c r="B1478" s="8">
        <f t="shared" si="13"/>
        <v>828496543.8</v>
      </c>
      <c r="C1478" s="8">
        <f t="shared" si="14"/>
        <v>0.002671232877</v>
      </c>
      <c r="D1478" s="8">
        <v>4550.58</v>
      </c>
      <c r="E1478" s="8">
        <f t="shared" si="17"/>
        <v>-0.0009462358037</v>
      </c>
      <c r="F1478" s="53">
        <v>5.093503624</v>
      </c>
      <c r="G1478" s="8">
        <f t="shared" si="16"/>
        <v>0.0001395480445</v>
      </c>
      <c r="H1478" s="8">
        <f t="shared" si="11"/>
        <v>4550.58</v>
      </c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</row>
    <row r="1479">
      <c r="A1479" s="54">
        <f t="shared" si="12"/>
        <v>45260</v>
      </c>
      <c r="B1479" s="8">
        <f t="shared" si="13"/>
        <v>830709651</v>
      </c>
      <c r="C1479" s="8">
        <f t="shared" si="14"/>
        <v>0.002671232877</v>
      </c>
      <c r="D1479" s="8">
        <v>4567.8</v>
      </c>
      <c r="E1479" s="8">
        <f t="shared" si="17"/>
        <v>0.003784133012</v>
      </c>
      <c r="F1479" s="53">
        <v>5.038160908</v>
      </c>
      <c r="G1479" s="8">
        <f t="shared" si="16"/>
        <v>0.0001380318057</v>
      </c>
      <c r="H1479" s="8">
        <f t="shared" si="11"/>
        <v>4567.8</v>
      </c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</row>
    <row r="1480">
      <c r="A1480" s="54">
        <f t="shared" si="12"/>
        <v>45261</v>
      </c>
      <c r="B1480" s="8">
        <f t="shared" si="13"/>
        <v>832928669.9</v>
      </c>
      <c r="C1480" s="8">
        <f t="shared" si="14"/>
        <v>0.002671232877</v>
      </c>
      <c r="D1480" s="8">
        <v>4594.63</v>
      </c>
      <c r="E1480" s="8">
        <f t="shared" si="17"/>
        <v>0.005873724769</v>
      </c>
      <c r="F1480" s="53">
        <v>4.992010494</v>
      </c>
      <c r="G1480" s="8">
        <f t="shared" si="16"/>
        <v>0.0001367674108</v>
      </c>
      <c r="H1480" s="8">
        <f t="shared" si="11"/>
        <v>4594.63</v>
      </c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</row>
    <row r="1481">
      <c r="A1481" s="54">
        <f t="shared" si="12"/>
        <v>45262</v>
      </c>
      <c r="B1481" s="8">
        <f t="shared" si="13"/>
        <v>835153616.4</v>
      </c>
      <c r="C1481" s="8">
        <f t="shared" si="14"/>
        <v>0.002671232877</v>
      </c>
      <c r="D1481" s="8">
        <v>4594.63</v>
      </c>
      <c r="E1481" s="8">
        <f t="shared" si="17"/>
        <v>0</v>
      </c>
      <c r="F1481" s="53">
        <v>5.032036229</v>
      </c>
      <c r="G1481" s="8">
        <f t="shared" si="16"/>
        <v>0.0001378640063</v>
      </c>
      <c r="H1481" s="8">
        <f t="shared" si="11"/>
        <v>4594.63</v>
      </c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</row>
    <row r="1482">
      <c r="A1482" s="54">
        <f t="shared" si="12"/>
        <v>45263</v>
      </c>
      <c r="B1482" s="8">
        <f t="shared" si="13"/>
        <v>837384506.2</v>
      </c>
      <c r="C1482" s="8">
        <f t="shared" si="14"/>
        <v>0.002671232877</v>
      </c>
      <c r="D1482" s="8">
        <v>4594.63</v>
      </c>
      <c r="E1482" s="8">
        <f t="shared" si="17"/>
        <v>0</v>
      </c>
      <c r="F1482" s="53">
        <v>4.977937905</v>
      </c>
      <c r="G1482" s="8">
        <f t="shared" si="16"/>
        <v>0.0001363818604</v>
      </c>
      <c r="H1482" s="8">
        <f t="shared" si="11"/>
        <v>4594.63</v>
      </c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</row>
    <row r="1483">
      <c r="A1483" s="54">
        <f t="shared" si="12"/>
        <v>45264</v>
      </c>
      <c r="B1483" s="8">
        <f t="shared" si="13"/>
        <v>839621355.2</v>
      </c>
      <c r="C1483" s="8">
        <f t="shared" si="14"/>
        <v>0.002671232877</v>
      </c>
      <c r="D1483" s="8">
        <v>4569.78</v>
      </c>
      <c r="E1483" s="8">
        <f t="shared" si="17"/>
        <v>-0.005408487735</v>
      </c>
      <c r="F1483" s="53">
        <v>4.967128623</v>
      </c>
      <c r="G1483" s="8">
        <f t="shared" si="16"/>
        <v>0.0001360857157</v>
      </c>
      <c r="H1483" s="8">
        <f t="shared" si="11"/>
        <v>4569.78</v>
      </c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</row>
    <row r="1484">
      <c r="A1484" s="54">
        <f t="shared" si="12"/>
        <v>45265</v>
      </c>
      <c r="B1484" s="8">
        <f t="shared" si="13"/>
        <v>841864179.4</v>
      </c>
      <c r="C1484" s="8">
        <f t="shared" si="14"/>
        <v>0.002671232877</v>
      </c>
      <c r="D1484" s="8">
        <v>4567.18</v>
      </c>
      <c r="E1484" s="8">
        <f t="shared" si="17"/>
        <v>-0.0005689551795</v>
      </c>
      <c r="F1484" s="53">
        <v>4.984244249</v>
      </c>
      <c r="G1484" s="8">
        <f t="shared" si="16"/>
        <v>0.000136554637</v>
      </c>
      <c r="H1484" s="8">
        <f t="shared" si="11"/>
        <v>4567.18</v>
      </c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</row>
    <row r="1485">
      <c r="A1485" s="54">
        <f t="shared" si="12"/>
        <v>45266</v>
      </c>
      <c r="B1485" s="8">
        <f t="shared" si="13"/>
        <v>844112994.6</v>
      </c>
      <c r="C1485" s="8">
        <f t="shared" si="14"/>
        <v>0.002671232877</v>
      </c>
      <c r="D1485" s="8">
        <v>4549.34</v>
      </c>
      <c r="E1485" s="8">
        <f t="shared" si="17"/>
        <v>-0.00390613026</v>
      </c>
      <c r="F1485" s="53">
        <v>4.976545237</v>
      </c>
      <c r="G1485" s="8">
        <f t="shared" si="16"/>
        <v>0.0001363437051</v>
      </c>
      <c r="H1485" s="8">
        <f t="shared" si="11"/>
        <v>4549.34</v>
      </c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</row>
    <row r="1486">
      <c r="A1486" s="54">
        <f t="shared" si="12"/>
        <v>45267</v>
      </c>
      <c r="B1486" s="8">
        <f t="shared" si="13"/>
        <v>846367817</v>
      </c>
      <c r="C1486" s="8">
        <f t="shared" si="14"/>
        <v>0.002671232877</v>
      </c>
      <c r="D1486" s="8">
        <v>4585.59</v>
      </c>
      <c r="E1486" s="8">
        <f t="shared" si="17"/>
        <v>0.007968188792</v>
      </c>
      <c r="F1486" s="53">
        <v>5.014239469</v>
      </c>
      <c r="G1486" s="8">
        <f t="shared" si="16"/>
        <v>0.0001373764238</v>
      </c>
      <c r="H1486" s="8">
        <f t="shared" si="11"/>
        <v>4585.59</v>
      </c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</row>
    <row r="1487">
      <c r="A1487" s="54">
        <f t="shared" si="12"/>
        <v>45268</v>
      </c>
      <c r="B1487" s="8">
        <f t="shared" si="13"/>
        <v>848628662.6</v>
      </c>
      <c r="C1487" s="8">
        <f t="shared" si="14"/>
        <v>0.002671232877</v>
      </c>
      <c r="D1487" s="8">
        <v>4604.37</v>
      </c>
      <c r="E1487" s="8">
        <f t="shared" si="17"/>
        <v>0.004095438101</v>
      </c>
      <c r="F1487" s="53">
        <v>4.95325728</v>
      </c>
      <c r="G1487" s="8">
        <f t="shared" si="16"/>
        <v>0.0001357056789</v>
      </c>
      <c r="H1487" s="8">
        <f t="shared" si="11"/>
        <v>4604.37</v>
      </c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</row>
    <row r="1488">
      <c r="A1488" s="54">
        <f t="shared" si="12"/>
        <v>45269</v>
      </c>
      <c r="B1488" s="8">
        <f t="shared" si="13"/>
        <v>850895547.3</v>
      </c>
      <c r="C1488" s="8">
        <f t="shared" si="14"/>
        <v>0.002671232877</v>
      </c>
      <c r="D1488" s="8">
        <v>4604.37</v>
      </c>
      <c r="E1488" s="8">
        <f t="shared" si="17"/>
        <v>0</v>
      </c>
      <c r="F1488" s="53">
        <v>5.000533379</v>
      </c>
      <c r="G1488" s="8">
        <f t="shared" si="16"/>
        <v>0.0001370009145</v>
      </c>
      <c r="H1488" s="8">
        <f t="shared" si="11"/>
        <v>4604.37</v>
      </c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</row>
    <row r="1489">
      <c r="A1489" s="54">
        <f t="shared" si="12"/>
        <v>45270</v>
      </c>
      <c r="B1489" s="8">
        <f t="shared" si="13"/>
        <v>853168487.5</v>
      </c>
      <c r="C1489" s="8">
        <f t="shared" si="14"/>
        <v>0.002671232877</v>
      </c>
      <c r="D1489" s="8">
        <v>4604.37</v>
      </c>
      <c r="E1489" s="8">
        <f t="shared" si="17"/>
        <v>0</v>
      </c>
      <c r="F1489" s="53">
        <v>5.062261175</v>
      </c>
      <c r="G1489" s="8">
        <f t="shared" si="16"/>
        <v>0.000138692087</v>
      </c>
      <c r="H1489" s="8">
        <f t="shared" si="11"/>
        <v>4604.37</v>
      </c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</row>
    <row r="1490">
      <c r="A1490" s="54">
        <f t="shared" si="12"/>
        <v>45271</v>
      </c>
      <c r="B1490" s="8">
        <f t="shared" si="13"/>
        <v>855447499.2</v>
      </c>
      <c r="C1490" s="8">
        <f t="shared" si="14"/>
        <v>0.002671232877</v>
      </c>
      <c r="D1490" s="8">
        <v>4622.44</v>
      </c>
      <c r="E1490" s="8">
        <f t="shared" si="17"/>
        <v>0.003924532564</v>
      </c>
      <c r="F1490" s="53">
        <v>4.943019819</v>
      </c>
      <c r="G1490" s="8">
        <f t="shared" si="16"/>
        <v>0.0001354252005</v>
      </c>
      <c r="H1490" s="8">
        <f t="shared" si="11"/>
        <v>4622.44</v>
      </c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</row>
    <row r="1491">
      <c r="A1491" s="54">
        <f t="shared" si="12"/>
        <v>45272</v>
      </c>
      <c r="B1491" s="8">
        <f t="shared" si="13"/>
        <v>857732598.7</v>
      </c>
      <c r="C1491" s="8">
        <f t="shared" si="14"/>
        <v>0.002671232877</v>
      </c>
      <c r="D1491" s="8">
        <v>4643.7</v>
      </c>
      <c r="E1491" s="8">
        <f t="shared" si="17"/>
        <v>0.004599302533</v>
      </c>
      <c r="F1491" s="53">
        <v>5.092239029</v>
      </c>
      <c r="G1491" s="8">
        <f t="shared" si="16"/>
        <v>0.0001395133981</v>
      </c>
      <c r="H1491" s="8">
        <f t="shared" si="11"/>
        <v>4643.7</v>
      </c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</row>
    <row r="1492">
      <c r="A1492" s="54">
        <f t="shared" si="12"/>
        <v>45273</v>
      </c>
      <c r="B1492" s="8">
        <f t="shared" si="13"/>
        <v>860023802.2</v>
      </c>
      <c r="C1492" s="8">
        <f t="shared" si="14"/>
        <v>0.002671232877</v>
      </c>
      <c r="D1492" s="8">
        <v>4707.09</v>
      </c>
      <c r="E1492" s="8">
        <f t="shared" si="17"/>
        <v>0.01365075263</v>
      </c>
      <c r="F1492" s="53">
        <v>5.06415478</v>
      </c>
      <c r="G1492" s="8">
        <f t="shared" si="16"/>
        <v>0.0001387439666</v>
      </c>
      <c r="H1492" s="8">
        <f t="shared" si="11"/>
        <v>4707.09</v>
      </c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</row>
    <row r="1493">
      <c r="A1493" s="54">
        <f t="shared" si="12"/>
        <v>45274</v>
      </c>
      <c r="B1493" s="8">
        <f t="shared" si="13"/>
        <v>862321126.1</v>
      </c>
      <c r="C1493" s="8">
        <f t="shared" si="14"/>
        <v>0.002671232877</v>
      </c>
      <c r="D1493" s="8">
        <v>4719.55</v>
      </c>
      <c r="E1493" s="8">
        <f t="shared" si="17"/>
        <v>0.002647070695</v>
      </c>
      <c r="F1493" s="53">
        <v>5.016575928</v>
      </c>
      <c r="G1493" s="8">
        <f t="shared" si="16"/>
        <v>0.0001374404364</v>
      </c>
      <c r="H1493" s="8">
        <f t="shared" si="11"/>
        <v>4719.55</v>
      </c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</row>
    <row r="1494">
      <c r="A1494" s="54">
        <f t="shared" si="12"/>
        <v>45275</v>
      </c>
      <c r="B1494" s="8">
        <f t="shared" si="13"/>
        <v>864624586.6</v>
      </c>
      <c r="C1494" s="8">
        <f t="shared" si="14"/>
        <v>0.002671232877</v>
      </c>
      <c r="D1494" s="8">
        <v>4719.19</v>
      </c>
      <c r="E1494" s="8">
        <f t="shared" si="17"/>
        <v>-0.00007627845875</v>
      </c>
      <c r="F1494" s="53">
        <v>5.029802224</v>
      </c>
      <c r="G1494" s="8">
        <f t="shared" si="16"/>
        <v>0.0001378028007</v>
      </c>
      <c r="H1494" s="8">
        <f t="shared" si="11"/>
        <v>4719.19</v>
      </c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</row>
    <row r="1495">
      <c r="A1495" s="54">
        <f t="shared" si="12"/>
        <v>45276</v>
      </c>
      <c r="B1495" s="8">
        <f t="shared" si="13"/>
        <v>866934200.2</v>
      </c>
      <c r="C1495" s="8">
        <f t="shared" si="14"/>
        <v>0.002671232877</v>
      </c>
      <c r="D1495" s="8">
        <v>4719.19</v>
      </c>
      <c r="E1495" s="8">
        <f t="shared" si="17"/>
        <v>0</v>
      </c>
      <c r="F1495" s="53">
        <v>4.991128063</v>
      </c>
      <c r="G1495" s="8">
        <f t="shared" si="16"/>
        <v>0.0001367432346</v>
      </c>
      <c r="H1495" s="8">
        <f t="shared" si="11"/>
        <v>4719.19</v>
      </c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</row>
    <row r="1496">
      <c r="A1496" s="54">
        <f t="shared" si="12"/>
        <v>45277</v>
      </c>
      <c r="B1496" s="8">
        <f t="shared" si="13"/>
        <v>869249983.4</v>
      </c>
      <c r="C1496" s="8">
        <f t="shared" si="14"/>
        <v>0.002671232877</v>
      </c>
      <c r="D1496" s="8">
        <v>4719.19</v>
      </c>
      <c r="E1496" s="8">
        <f t="shared" si="17"/>
        <v>0</v>
      </c>
      <c r="F1496" s="53">
        <v>5.014247726</v>
      </c>
      <c r="G1496" s="8">
        <f t="shared" si="16"/>
        <v>0.00013737665</v>
      </c>
      <c r="H1496" s="8">
        <f t="shared" si="11"/>
        <v>4719.19</v>
      </c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</row>
    <row r="1497">
      <c r="A1497" s="54">
        <f t="shared" si="12"/>
        <v>45278</v>
      </c>
      <c r="B1497" s="8">
        <f t="shared" si="13"/>
        <v>871571952.5</v>
      </c>
      <c r="C1497" s="8">
        <f t="shared" si="14"/>
        <v>0.002671232877</v>
      </c>
      <c r="D1497" s="8">
        <v>4740.56</v>
      </c>
      <c r="E1497" s="8">
        <f t="shared" si="17"/>
        <v>0.004528319479</v>
      </c>
      <c r="F1497" s="53">
        <v>5.022624025</v>
      </c>
      <c r="G1497" s="8">
        <f t="shared" si="16"/>
        <v>0.0001376061377</v>
      </c>
      <c r="H1497" s="8">
        <f t="shared" si="11"/>
        <v>4740.56</v>
      </c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</row>
    <row r="1498">
      <c r="A1498" s="54">
        <f t="shared" si="12"/>
        <v>45279</v>
      </c>
      <c r="B1498" s="8">
        <f t="shared" si="13"/>
        <v>873900124.2</v>
      </c>
      <c r="C1498" s="8">
        <f t="shared" si="14"/>
        <v>0.002671232877</v>
      </c>
      <c r="D1498" s="8">
        <v>4768.37</v>
      </c>
      <c r="E1498" s="8">
        <f t="shared" si="17"/>
        <v>0.005866395531</v>
      </c>
      <c r="F1498" s="53">
        <v>4.899722647</v>
      </c>
      <c r="G1498" s="8">
        <f t="shared" si="16"/>
        <v>0.0001342389766</v>
      </c>
      <c r="H1498" s="8">
        <f t="shared" si="11"/>
        <v>4768.37</v>
      </c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</row>
    <row r="1499">
      <c r="A1499" s="54">
        <f t="shared" si="12"/>
        <v>45280</v>
      </c>
      <c r="B1499" s="8">
        <f t="shared" si="13"/>
        <v>876234514.9</v>
      </c>
      <c r="C1499" s="8">
        <f t="shared" si="14"/>
        <v>0.002671232877</v>
      </c>
      <c r="D1499" s="8">
        <v>4698.35</v>
      </c>
      <c r="E1499" s="8">
        <f t="shared" si="17"/>
        <v>-0.01468426318</v>
      </c>
      <c r="F1499" s="53">
        <v>4.97627343</v>
      </c>
      <c r="G1499" s="8">
        <f t="shared" si="16"/>
        <v>0.0001363362584</v>
      </c>
      <c r="H1499" s="8">
        <f t="shared" si="11"/>
        <v>4698.35</v>
      </c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</row>
    <row r="1500">
      <c r="A1500" s="54">
        <f t="shared" si="12"/>
        <v>45281</v>
      </c>
      <c r="B1500" s="8">
        <f t="shared" si="13"/>
        <v>878575141.4</v>
      </c>
      <c r="C1500" s="8">
        <f t="shared" si="14"/>
        <v>0.002671232877</v>
      </c>
      <c r="D1500" s="8">
        <v>4746.75</v>
      </c>
      <c r="E1500" s="8">
        <f t="shared" si="17"/>
        <v>0.01030148882</v>
      </c>
      <c r="F1500" s="53">
        <v>5.077673814</v>
      </c>
      <c r="G1500" s="8">
        <f t="shared" si="16"/>
        <v>0.0001391143511</v>
      </c>
      <c r="H1500" s="8">
        <f t="shared" si="11"/>
        <v>4746.75</v>
      </c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</row>
    <row r="1501">
      <c r="A1501" s="54">
        <f t="shared" si="12"/>
        <v>45282</v>
      </c>
      <c r="B1501" s="8">
        <f t="shared" si="13"/>
        <v>880922020.2</v>
      </c>
      <c r="C1501" s="8">
        <f t="shared" si="14"/>
        <v>0.002671232877</v>
      </c>
      <c r="D1501" s="8">
        <v>4754.63</v>
      </c>
      <c r="E1501" s="8">
        <f t="shared" si="17"/>
        <v>0.001660083215</v>
      </c>
      <c r="F1501" s="53">
        <v>5.00966807</v>
      </c>
      <c r="G1501" s="8">
        <f t="shared" si="16"/>
        <v>0.00013725118</v>
      </c>
      <c r="H1501" s="8">
        <f t="shared" si="11"/>
        <v>4754.63</v>
      </c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</row>
    <row r="1502">
      <c r="A1502" s="54">
        <f t="shared" si="12"/>
        <v>45283</v>
      </c>
      <c r="B1502" s="8">
        <f t="shared" si="13"/>
        <v>883275168</v>
      </c>
      <c r="C1502" s="8">
        <f t="shared" si="14"/>
        <v>0.002671232877</v>
      </c>
      <c r="D1502" s="8">
        <v>4754.63</v>
      </c>
      <c r="E1502" s="8">
        <f t="shared" si="17"/>
        <v>0</v>
      </c>
      <c r="F1502" s="53">
        <v>4.968618428</v>
      </c>
      <c r="G1502" s="8">
        <f t="shared" si="16"/>
        <v>0.0001361265323</v>
      </c>
      <c r="H1502" s="8">
        <f t="shared" si="11"/>
        <v>4754.63</v>
      </c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</row>
    <row r="1503">
      <c r="A1503" s="54">
        <f t="shared" si="12"/>
        <v>45284</v>
      </c>
      <c r="B1503" s="8">
        <f t="shared" si="13"/>
        <v>885634601.7</v>
      </c>
      <c r="C1503" s="8">
        <f t="shared" si="14"/>
        <v>0.002671232877</v>
      </c>
      <c r="D1503" s="8">
        <v>4754.63</v>
      </c>
      <c r="E1503" s="8">
        <f t="shared" si="17"/>
        <v>0</v>
      </c>
      <c r="F1503" s="53">
        <v>4.974503891</v>
      </c>
      <c r="G1503" s="8">
        <f t="shared" si="16"/>
        <v>0.0001362877778</v>
      </c>
      <c r="H1503" s="8">
        <f t="shared" si="11"/>
        <v>4754.63</v>
      </c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</row>
    <row r="1504">
      <c r="A1504" s="54">
        <f t="shared" si="12"/>
        <v>45285</v>
      </c>
      <c r="B1504" s="8">
        <f t="shared" si="13"/>
        <v>888000338</v>
      </c>
      <c r="C1504" s="8">
        <f t="shared" si="14"/>
        <v>0.002671232877</v>
      </c>
      <c r="D1504" s="8">
        <v>4754.63</v>
      </c>
      <c r="E1504" s="8">
        <f t="shared" si="17"/>
        <v>0</v>
      </c>
      <c r="F1504" s="53">
        <v>5.109370981</v>
      </c>
      <c r="G1504" s="8">
        <f t="shared" si="16"/>
        <v>0.0001399827666</v>
      </c>
      <c r="H1504" s="8">
        <f t="shared" si="11"/>
        <v>4754.63</v>
      </c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</row>
    <row r="1505">
      <c r="A1505" s="54">
        <f t="shared" si="12"/>
        <v>45286</v>
      </c>
      <c r="B1505" s="8">
        <f t="shared" si="13"/>
        <v>890372393.7</v>
      </c>
      <c r="C1505" s="8">
        <f t="shared" si="14"/>
        <v>0.002671232877</v>
      </c>
      <c r="D1505" s="8">
        <v>4774.75</v>
      </c>
      <c r="E1505" s="8">
        <f t="shared" si="17"/>
        <v>0.004231664714</v>
      </c>
      <c r="F1505" s="53">
        <v>5.033293454</v>
      </c>
      <c r="G1505" s="8">
        <f t="shared" si="16"/>
        <v>0.0001378984508</v>
      </c>
      <c r="H1505" s="8">
        <f t="shared" si="11"/>
        <v>4774.75</v>
      </c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</row>
    <row r="1506">
      <c r="A1506" s="54">
        <f t="shared" si="12"/>
        <v>45287</v>
      </c>
      <c r="B1506" s="8">
        <f t="shared" si="13"/>
        <v>892750785.7</v>
      </c>
      <c r="C1506" s="8">
        <f t="shared" si="14"/>
        <v>0.002671232877</v>
      </c>
      <c r="D1506" s="8">
        <v>4781.58</v>
      </c>
      <c r="E1506" s="8">
        <f t="shared" si="17"/>
        <v>0.001430441384</v>
      </c>
      <c r="F1506" s="53">
        <v>5.089219443</v>
      </c>
      <c r="G1506" s="8">
        <f t="shared" si="16"/>
        <v>0.0001394306697</v>
      </c>
      <c r="H1506" s="8">
        <f t="shared" si="11"/>
        <v>4781.58</v>
      </c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</row>
    <row r="1507">
      <c r="A1507" s="54">
        <f t="shared" si="12"/>
        <v>45288</v>
      </c>
      <c r="B1507" s="8">
        <f t="shared" si="13"/>
        <v>895135530.9</v>
      </c>
      <c r="C1507" s="8">
        <f t="shared" si="14"/>
        <v>0.002671232877</v>
      </c>
      <c r="D1507" s="8">
        <v>4783.35</v>
      </c>
      <c r="E1507" s="8">
        <f t="shared" si="17"/>
        <v>0.0003701705294</v>
      </c>
      <c r="F1507" s="53">
        <v>4.967539908</v>
      </c>
      <c r="G1507" s="8">
        <f t="shared" si="16"/>
        <v>0.0001360969838</v>
      </c>
      <c r="H1507" s="8">
        <f t="shared" si="11"/>
        <v>4783.35</v>
      </c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</row>
    <row r="1508">
      <c r="A1508" s="54">
        <f t="shared" si="12"/>
        <v>45289</v>
      </c>
      <c r="B1508" s="8">
        <f t="shared" si="13"/>
        <v>897526646.4</v>
      </c>
      <c r="C1508" s="8">
        <f t="shared" si="14"/>
        <v>0.002671232877</v>
      </c>
      <c r="D1508" s="8">
        <v>4769.83</v>
      </c>
      <c r="E1508" s="8">
        <f t="shared" si="17"/>
        <v>-0.002826470988</v>
      </c>
      <c r="F1508" s="53">
        <v>4.926883324</v>
      </c>
      <c r="G1508" s="8">
        <f t="shared" si="16"/>
        <v>0.0001349831048</v>
      </c>
      <c r="H1508" s="8">
        <f t="shared" si="11"/>
        <v>4769.83</v>
      </c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</row>
    <row r="1509">
      <c r="A1509" s="54">
        <f t="shared" si="12"/>
        <v>45290</v>
      </c>
      <c r="B1509" s="8">
        <f t="shared" si="13"/>
        <v>899924149.1</v>
      </c>
      <c r="C1509" s="8">
        <f t="shared" si="14"/>
        <v>0.002671232877</v>
      </c>
      <c r="D1509" s="8">
        <v>4769.83</v>
      </c>
      <c r="E1509" s="8">
        <f t="shared" si="17"/>
        <v>0</v>
      </c>
      <c r="F1509" s="53">
        <v>5.045747308</v>
      </c>
      <c r="G1509" s="8">
        <f t="shared" si="16"/>
        <v>0.0001382396523</v>
      </c>
      <c r="H1509" s="8">
        <f t="shared" si="11"/>
        <v>4769.83</v>
      </c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</row>
    <row r="1510">
      <c r="A1510" s="54">
        <f t="shared" si="12"/>
        <v>45291</v>
      </c>
      <c r="B1510" s="8">
        <f t="shared" si="13"/>
        <v>902328056</v>
      </c>
      <c r="C1510" s="8">
        <f t="shared" si="14"/>
        <v>0.002671232877</v>
      </c>
      <c r="D1510" s="8">
        <v>4769.83</v>
      </c>
      <c r="E1510" s="8">
        <f t="shared" si="17"/>
        <v>0</v>
      </c>
      <c r="F1510" s="53">
        <v>5.007726598</v>
      </c>
      <c r="G1510" s="8">
        <f t="shared" si="16"/>
        <v>0.000137197989</v>
      </c>
      <c r="H1510" s="8">
        <f t="shared" si="11"/>
        <v>4769.83</v>
      </c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</row>
    <row r="1511">
      <c r="A1511" s="54">
        <f t="shared" si="12"/>
        <v>45292</v>
      </c>
      <c r="B1511" s="8">
        <f t="shared" si="13"/>
        <v>902795288.9</v>
      </c>
      <c r="C1511" s="8">
        <f t="shared" si="14"/>
        <v>0.0005178082192</v>
      </c>
      <c r="D1511" s="8">
        <v>4769.83</v>
      </c>
      <c r="E1511" s="8">
        <f t="shared" si="17"/>
        <v>0</v>
      </c>
      <c r="F1511" s="53">
        <v>4.915208057</v>
      </c>
      <c r="G1511" s="8">
        <f t="shared" si="16"/>
        <v>0.0001346632344</v>
      </c>
      <c r="H1511" s="8">
        <f t="shared" si="11"/>
        <v>4769.83</v>
      </c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</row>
    <row r="1512">
      <c r="A1512" s="54">
        <f t="shared" si="12"/>
        <v>45293</v>
      </c>
      <c r="B1512" s="8">
        <f t="shared" si="13"/>
        <v>903262763.7</v>
      </c>
      <c r="C1512" s="8">
        <f t="shared" si="14"/>
        <v>0.0005178082192</v>
      </c>
      <c r="D1512" s="8">
        <v>4742.83</v>
      </c>
      <c r="E1512" s="8">
        <f t="shared" si="17"/>
        <v>-0.005660579098</v>
      </c>
      <c r="F1512" s="53">
        <v>4.863961603</v>
      </c>
      <c r="G1512" s="8">
        <f t="shared" si="16"/>
        <v>0.000133259222</v>
      </c>
      <c r="H1512" s="8">
        <f t="shared" si="11"/>
        <v>4742.83</v>
      </c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</row>
    <row r="1513">
      <c r="A1513" s="54">
        <f t="shared" si="12"/>
        <v>45294</v>
      </c>
      <c r="B1513" s="8">
        <f t="shared" si="13"/>
        <v>903730480.6</v>
      </c>
      <c r="C1513" s="8">
        <f t="shared" si="14"/>
        <v>0.0005178082192</v>
      </c>
      <c r="D1513" s="8">
        <v>4704.81</v>
      </c>
      <c r="E1513" s="8">
        <f t="shared" si="17"/>
        <v>-0.008016310937</v>
      </c>
      <c r="F1513" s="53">
        <v>4.892150151</v>
      </c>
      <c r="G1513" s="8">
        <f t="shared" si="16"/>
        <v>0.000134031511</v>
      </c>
      <c r="H1513" s="8">
        <f t="shared" si="11"/>
        <v>4704.81</v>
      </c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</row>
    <row r="1514">
      <c r="A1514" s="54">
        <f t="shared" si="12"/>
        <v>45295</v>
      </c>
      <c r="B1514" s="8">
        <f t="shared" si="13"/>
        <v>904198439.7</v>
      </c>
      <c r="C1514" s="8">
        <f t="shared" si="14"/>
        <v>0.0005178082192</v>
      </c>
      <c r="D1514" s="8">
        <v>4688.68</v>
      </c>
      <c r="E1514" s="8">
        <f t="shared" si="17"/>
        <v>-0.003428406248</v>
      </c>
      <c r="F1514" s="53">
        <v>4.792614567</v>
      </c>
      <c r="G1514" s="8">
        <f t="shared" si="16"/>
        <v>0.0001313045087</v>
      </c>
      <c r="H1514" s="8">
        <f t="shared" si="11"/>
        <v>4688.68</v>
      </c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</row>
    <row r="1515">
      <c r="A1515" s="54">
        <f t="shared" si="12"/>
        <v>45296</v>
      </c>
      <c r="B1515" s="8">
        <f t="shared" si="13"/>
        <v>904666641.1</v>
      </c>
      <c r="C1515" s="8">
        <f t="shared" si="14"/>
        <v>0.0005178082192</v>
      </c>
      <c r="D1515" s="8">
        <v>4697.24</v>
      </c>
      <c r="E1515" s="8">
        <f t="shared" si="17"/>
        <v>0.00182567375</v>
      </c>
      <c r="F1515" s="53">
        <v>4.892731805</v>
      </c>
      <c r="G1515" s="8">
        <f t="shared" si="16"/>
        <v>0.0001340474467</v>
      </c>
      <c r="H1515" s="8">
        <f t="shared" si="11"/>
        <v>4697.24</v>
      </c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</row>
    <row r="1516">
      <c r="A1516" s="54">
        <f t="shared" si="12"/>
        <v>45297</v>
      </c>
      <c r="B1516" s="8">
        <f t="shared" si="13"/>
        <v>905135084.9</v>
      </c>
      <c r="C1516" s="8">
        <f t="shared" si="14"/>
        <v>0.0005178082192</v>
      </c>
      <c r="D1516" s="8">
        <v>4697.24</v>
      </c>
      <c r="E1516" s="8">
        <f t="shared" si="17"/>
        <v>0</v>
      </c>
      <c r="F1516" s="53">
        <v>4.908897333</v>
      </c>
      <c r="G1516" s="8">
        <f t="shared" si="16"/>
        <v>0.0001344903379</v>
      </c>
      <c r="H1516" s="8">
        <f t="shared" si="11"/>
        <v>4697.24</v>
      </c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</row>
    <row r="1517">
      <c r="A1517" s="54">
        <f t="shared" si="12"/>
        <v>45298</v>
      </c>
      <c r="B1517" s="8">
        <f t="shared" si="13"/>
        <v>905603771.3</v>
      </c>
      <c r="C1517" s="8">
        <f t="shared" si="14"/>
        <v>0.0005178082192</v>
      </c>
      <c r="D1517" s="8">
        <v>4697.24</v>
      </c>
      <c r="E1517" s="8">
        <f t="shared" si="17"/>
        <v>0</v>
      </c>
      <c r="F1517" s="53">
        <v>4.930065427</v>
      </c>
      <c r="G1517" s="8">
        <f t="shared" si="16"/>
        <v>0.0001350702857</v>
      </c>
      <c r="H1517" s="8">
        <f t="shared" si="11"/>
        <v>4697.24</v>
      </c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</row>
    <row r="1518">
      <c r="A1518" s="54">
        <f t="shared" si="12"/>
        <v>45299</v>
      </c>
      <c r="B1518" s="8">
        <f t="shared" si="13"/>
        <v>906072700.4</v>
      </c>
      <c r="C1518" s="8">
        <f t="shared" si="14"/>
        <v>0.0005178082192</v>
      </c>
      <c r="D1518" s="8">
        <v>4763.54</v>
      </c>
      <c r="E1518" s="8">
        <f t="shared" si="17"/>
        <v>0.01411467159</v>
      </c>
      <c r="F1518" s="53">
        <v>4.807154594</v>
      </c>
      <c r="G1518" s="8">
        <f t="shared" si="16"/>
        <v>0.0001317028656</v>
      </c>
      <c r="H1518" s="8">
        <f t="shared" si="11"/>
        <v>4763.54</v>
      </c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</row>
    <row r="1519">
      <c r="A1519" s="54">
        <f t="shared" si="12"/>
        <v>45300</v>
      </c>
      <c r="B1519" s="8">
        <f t="shared" si="13"/>
        <v>906541872.2</v>
      </c>
      <c r="C1519" s="8">
        <f t="shared" si="14"/>
        <v>0.0005178082192</v>
      </c>
      <c r="D1519" s="8">
        <v>4756.5</v>
      </c>
      <c r="E1519" s="8">
        <f t="shared" si="17"/>
        <v>-0.001477892492</v>
      </c>
      <c r="F1519" s="53">
        <v>4.821543096</v>
      </c>
      <c r="G1519" s="8">
        <f t="shared" si="16"/>
        <v>0.0001320970711</v>
      </c>
      <c r="H1519" s="8">
        <f t="shared" si="11"/>
        <v>4756.5</v>
      </c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</row>
    <row r="1520">
      <c r="A1520" s="54">
        <f t="shared" si="12"/>
        <v>45301</v>
      </c>
      <c r="B1520" s="8">
        <f t="shared" si="13"/>
        <v>907011287.1</v>
      </c>
      <c r="C1520" s="8">
        <f t="shared" si="14"/>
        <v>0.0005178082192</v>
      </c>
      <c r="D1520" s="8">
        <v>4783.45</v>
      </c>
      <c r="E1520" s="8">
        <f t="shared" si="17"/>
        <v>0.005665930831</v>
      </c>
      <c r="F1520" s="53">
        <v>4.773473661</v>
      </c>
      <c r="G1520" s="8">
        <f t="shared" si="16"/>
        <v>0.0001307801003</v>
      </c>
      <c r="H1520" s="8">
        <f t="shared" si="11"/>
        <v>4783.45</v>
      </c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</row>
    <row r="1521">
      <c r="A1521" s="54">
        <f t="shared" si="12"/>
        <v>45302</v>
      </c>
      <c r="B1521" s="8">
        <f t="shared" si="13"/>
        <v>907480945</v>
      </c>
      <c r="C1521" s="8">
        <f t="shared" si="14"/>
        <v>0.0005178082192</v>
      </c>
      <c r="D1521" s="8">
        <v>4780.24</v>
      </c>
      <c r="E1521" s="8">
        <f t="shared" si="17"/>
        <v>-0.000671063772</v>
      </c>
      <c r="F1521" s="53">
        <v>4.893718827</v>
      </c>
      <c r="G1521" s="8">
        <f t="shared" si="16"/>
        <v>0.0001340744884</v>
      </c>
      <c r="H1521" s="8">
        <f t="shared" si="11"/>
        <v>4780.24</v>
      </c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</row>
    <row r="1522">
      <c r="A1522" s="54">
        <f t="shared" si="12"/>
        <v>45303</v>
      </c>
      <c r="B1522" s="8">
        <f t="shared" si="13"/>
        <v>907950846.1</v>
      </c>
      <c r="C1522" s="8">
        <f t="shared" si="14"/>
        <v>0.0005178082192</v>
      </c>
      <c r="D1522" s="8">
        <v>4783.83</v>
      </c>
      <c r="E1522" s="8">
        <f t="shared" si="17"/>
        <v>0.0007510083176</v>
      </c>
      <c r="F1522" s="53">
        <v>4.882266053</v>
      </c>
      <c r="G1522" s="8">
        <f t="shared" si="16"/>
        <v>0.0001337607138</v>
      </c>
      <c r="H1522" s="8">
        <f t="shared" si="11"/>
        <v>4783.83</v>
      </c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</row>
    <row r="1523">
      <c r="A1523" s="54">
        <f t="shared" si="12"/>
        <v>45304</v>
      </c>
      <c r="B1523" s="8">
        <f t="shared" si="13"/>
        <v>908420990.5</v>
      </c>
      <c r="C1523" s="8">
        <f t="shared" si="14"/>
        <v>0.0005178082192</v>
      </c>
      <c r="D1523" s="8">
        <v>4783.83</v>
      </c>
      <c r="E1523" s="8">
        <f t="shared" si="17"/>
        <v>0</v>
      </c>
      <c r="F1523" s="53">
        <v>4.877360669</v>
      </c>
      <c r="G1523" s="8">
        <f t="shared" si="16"/>
        <v>0.0001336263197</v>
      </c>
      <c r="H1523" s="8">
        <f t="shared" si="11"/>
        <v>4783.83</v>
      </c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</row>
    <row r="1524">
      <c r="A1524" s="54">
        <f t="shared" si="12"/>
        <v>45305</v>
      </c>
      <c r="B1524" s="8">
        <f t="shared" si="13"/>
        <v>908891378.3</v>
      </c>
      <c r="C1524" s="8">
        <f t="shared" si="14"/>
        <v>0.0005178082192</v>
      </c>
      <c r="D1524" s="8">
        <v>4783.83</v>
      </c>
      <c r="E1524" s="8">
        <f t="shared" si="17"/>
        <v>0</v>
      </c>
      <c r="F1524" s="53">
        <v>4.947959451</v>
      </c>
      <c r="G1524" s="8">
        <f t="shared" si="16"/>
        <v>0.0001355605329</v>
      </c>
      <c r="H1524" s="8">
        <f t="shared" si="11"/>
        <v>4783.83</v>
      </c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</row>
    <row r="1525">
      <c r="A1525" s="54">
        <f t="shared" si="12"/>
        <v>45306</v>
      </c>
      <c r="B1525" s="8">
        <f t="shared" si="13"/>
        <v>909362009.8</v>
      </c>
      <c r="C1525" s="8">
        <f t="shared" si="14"/>
        <v>0.0005178082192</v>
      </c>
      <c r="D1525" s="8">
        <v>4783.83</v>
      </c>
      <c r="E1525" s="8">
        <f t="shared" si="17"/>
        <v>0</v>
      </c>
      <c r="F1525" s="53">
        <v>4.885688635</v>
      </c>
      <c r="G1525" s="8">
        <f t="shared" si="16"/>
        <v>0.0001338544832</v>
      </c>
      <c r="H1525" s="8">
        <f t="shared" si="11"/>
        <v>4783.83</v>
      </c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</row>
    <row r="1526">
      <c r="A1526" s="54">
        <f t="shared" si="12"/>
        <v>45307</v>
      </c>
      <c r="B1526" s="8">
        <f t="shared" si="13"/>
        <v>909832884.9</v>
      </c>
      <c r="C1526" s="8">
        <f t="shared" si="14"/>
        <v>0.0005178082192</v>
      </c>
      <c r="D1526" s="8">
        <v>4765.98</v>
      </c>
      <c r="E1526" s="8">
        <f t="shared" si="17"/>
        <v>-0.003731319884</v>
      </c>
      <c r="F1526" s="53">
        <v>4.904345701</v>
      </c>
      <c r="G1526" s="8">
        <f t="shared" si="16"/>
        <v>0.0001343656356</v>
      </c>
      <c r="H1526" s="8">
        <f t="shared" si="11"/>
        <v>4765.98</v>
      </c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</row>
    <row r="1527">
      <c r="A1527" s="54">
        <f t="shared" si="12"/>
        <v>45308</v>
      </c>
      <c r="B1527" s="8">
        <f t="shared" si="13"/>
        <v>910304003.8</v>
      </c>
      <c r="C1527" s="8">
        <f t="shared" si="14"/>
        <v>0.0005178082192</v>
      </c>
      <c r="D1527" s="8">
        <v>4739.21</v>
      </c>
      <c r="E1527" s="8">
        <f t="shared" si="17"/>
        <v>-0.005616893063</v>
      </c>
      <c r="F1527" s="53">
        <v>4.963597383</v>
      </c>
      <c r="G1527" s="8">
        <f t="shared" si="16"/>
        <v>0.0001359889694</v>
      </c>
      <c r="H1527" s="8">
        <f t="shared" si="11"/>
        <v>4739.21</v>
      </c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</row>
    <row r="1528">
      <c r="A1528" s="54">
        <f t="shared" si="12"/>
        <v>45309</v>
      </c>
      <c r="B1528" s="8">
        <f t="shared" si="13"/>
        <v>910775366.7</v>
      </c>
      <c r="C1528" s="8">
        <f t="shared" si="14"/>
        <v>0.0005178082192</v>
      </c>
      <c r="D1528" s="8">
        <v>4780.94</v>
      </c>
      <c r="E1528" s="8">
        <f t="shared" si="17"/>
        <v>0.008805265013</v>
      </c>
      <c r="F1528" s="53">
        <v>4.963293027</v>
      </c>
      <c r="G1528" s="8">
        <f t="shared" si="16"/>
        <v>0.0001359806309</v>
      </c>
      <c r="H1528" s="8">
        <f t="shared" si="11"/>
        <v>4780.94</v>
      </c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</row>
    <row r="1529">
      <c r="A1529" s="54">
        <f t="shared" si="12"/>
        <v>45310</v>
      </c>
      <c r="B1529" s="8">
        <f t="shared" si="13"/>
        <v>911246973.7</v>
      </c>
      <c r="C1529" s="8">
        <f t="shared" si="14"/>
        <v>0.0005178082192</v>
      </c>
      <c r="D1529" s="8">
        <v>4839.81</v>
      </c>
      <c r="E1529" s="8">
        <f t="shared" si="17"/>
        <v>0.0123134781</v>
      </c>
      <c r="F1529" s="53">
        <v>4.872402396</v>
      </c>
      <c r="G1529" s="8">
        <f t="shared" si="16"/>
        <v>0.0001334904766</v>
      </c>
      <c r="H1529" s="8">
        <f t="shared" si="11"/>
        <v>4839.81</v>
      </c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</row>
    <row r="1530">
      <c r="A1530" s="54">
        <f t="shared" si="12"/>
        <v>45311</v>
      </c>
      <c r="B1530" s="8">
        <f t="shared" si="13"/>
        <v>911718824.9</v>
      </c>
      <c r="C1530" s="8">
        <f t="shared" si="14"/>
        <v>0.0005178082192</v>
      </c>
      <c r="D1530" s="8">
        <v>4839.81</v>
      </c>
      <c r="E1530" s="8">
        <f t="shared" si="17"/>
        <v>0</v>
      </c>
      <c r="F1530" s="53">
        <v>4.900100553</v>
      </c>
      <c r="G1530" s="8">
        <f t="shared" si="16"/>
        <v>0.0001342493302</v>
      </c>
      <c r="H1530" s="8">
        <f t="shared" si="11"/>
        <v>4839.81</v>
      </c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</row>
    <row r="1531">
      <c r="A1531" s="54">
        <f t="shared" si="12"/>
        <v>45312</v>
      </c>
      <c r="B1531" s="8">
        <f t="shared" si="13"/>
        <v>912190920.4</v>
      </c>
      <c r="C1531" s="8">
        <f t="shared" si="14"/>
        <v>0.0005178082192</v>
      </c>
      <c r="D1531" s="8">
        <v>4839.81</v>
      </c>
      <c r="E1531" s="8">
        <f t="shared" si="17"/>
        <v>0</v>
      </c>
      <c r="F1531" s="53">
        <v>4.917311144</v>
      </c>
      <c r="G1531" s="8">
        <f t="shared" si="16"/>
        <v>0.0001347208533</v>
      </c>
      <c r="H1531" s="8">
        <f t="shared" si="11"/>
        <v>4839.81</v>
      </c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</row>
    <row r="1532">
      <c r="A1532" s="54">
        <f t="shared" si="12"/>
        <v>45313</v>
      </c>
      <c r="B1532" s="8">
        <f t="shared" si="13"/>
        <v>912663260.3</v>
      </c>
      <c r="C1532" s="8">
        <f t="shared" si="14"/>
        <v>0.0005178082192</v>
      </c>
      <c r="D1532" s="8">
        <v>4850.43</v>
      </c>
      <c r="E1532" s="8">
        <f t="shared" si="17"/>
        <v>0.002194301016</v>
      </c>
      <c r="F1532" s="53">
        <v>4.877353998</v>
      </c>
      <c r="G1532" s="8">
        <f t="shared" si="16"/>
        <v>0.0001336261369</v>
      </c>
      <c r="H1532" s="8">
        <f t="shared" si="11"/>
        <v>4850.43</v>
      </c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</row>
    <row r="1533">
      <c r="A1533" s="54">
        <f t="shared" si="12"/>
        <v>45314</v>
      </c>
      <c r="B1533" s="8">
        <f t="shared" si="13"/>
        <v>913135844.9</v>
      </c>
      <c r="C1533" s="8">
        <f t="shared" si="14"/>
        <v>0.0005178082192</v>
      </c>
      <c r="D1533" s="8">
        <v>4864.6</v>
      </c>
      <c r="E1533" s="8">
        <f t="shared" si="17"/>
        <v>0.002921390475</v>
      </c>
      <c r="F1533" s="53">
        <v>4.872572289</v>
      </c>
      <c r="G1533" s="8">
        <f t="shared" si="16"/>
        <v>0.0001334951312</v>
      </c>
      <c r="H1533" s="8">
        <f t="shared" si="11"/>
        <v>4864.6</v>
      </c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</row>
    <row r="1534">
      <c r="A1534" s="54">
        <f t="shared" si="12"/>
        <v>45315</v>
      </c>
      <c r="B1534" s="8">
        <f t="shared" si="13"/>
        <v>913608674.1</v>
      </c>
      <c r="C1534" s="8">
        <f t="shared" si="14"/>
        <v>0.0005178082192</v>
      </c>
      <c r="D1534" s="8">
        <v>4868.55</v>
      </c>
      <c r="E1534" s="8">
        <f t="shared" si="17"/>
        <v>0.0008119886527</v>
      </c>
      <c r="F1534" s="53">
        <v>4.904913032</v>
      </c>
      <c r="G1534" s="8">
        <f t="shared" si="16"/>
        <v>0.000134381179</v>
      </c>
      <c r="H1534" s="8">
        <f t="shared" si="11"/>
        <v>4868.55</v>
      </c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</row>
    <row r="1535">
      <c r="A1535" s="54">
        <f t="shared" si="12"/>
        <v>45316</v>
      </c>
      <c r="B1535" s="8">
        <f t="shared" si="13"/>
        <v>914081748.2</v>
      </c>
      <c r="C1535" s="8">
        <f t="shared" si="14"/>
        <v>0.0005178082192</v>
      </c>
      <c r="D1535" s="8">
        <v>4894.16</v>
      </c>
      <c r="E1535" s="8">
        <f t="shared" si="17"/>
        <v>0.005260293106</v>
      </c>
      <c r="F1535" s="53">
        <v>4.842212643</v>
      </c>
      <c r="G1535" s="8">
        <f t="shared" si="16"/>
        <v>0.0001326633601</v>
      </c>
      <c r="H1535" s="8">
        <f t="shared" si="11"/>
        <v>4894.16</v>
      </c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</row>
    <row r="1536">
      <c r="A1536" s="54">
        <f t="shared" si="12"/>
        <v>45317</v>
      </c>
      <c r="B1536" s="8">
        <f t="shared" si="13"/>
        <v>914555067.2</v>
      </c>
      <c r="C1536" s="8">
        <f t="shared" si="14"/>
        <v>0.0005178082192</v>
      </c>
      <c r="D1536" s="8">
        <v>4890.97</v>
      </c>
      <c r="E1536" s="8">
        <f t="shared" si="17"/>
        <v>-0.0006517972441</v>
      </c>
      <c r="F1536" s="53">
        <v>4.834249409</v>
      </c>
      <c r="G1536" s="8">
        <f t="shared" si="16"/>
        <v>0.0001324451893</v>
      </c>
      <c r="H1536" s="8">
        <f t="shared" si="11"/>
        <v>4890.97</v>
      </c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</row>
    <row r="1537">
      <c r="A1537" s="54">
        <f t="shared" si="12"/>
        <v>45318</v>
      </c>
      <c r="B1537" s="8">
        <f t="shared" si="13"/>
        <v>915028631.4</v>
      </c>
      <c r="C1537" s="8">
        <f t="shared" si="14"/>
        <v>0.0005178082192</v>
      </c>
      <c r="D1537" s="8">
        <v>4890.97</v>
      </c>
      <c r="E1537" s="8">
        <f t="shared" si="17"/>
        <v>0</v>
      </c>
      <c r="F1537" s="53">
        <v>4.85083774</v>
      </c>
      <c r="G1537" s="8">
        <f t="shared" si="16"/>
        <v>0.0001328996641</v>
      </c>
      <c r="H1537" s="8">
        <f t="shared" si="11"/>
        <v>4890.97</v>
      </c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</row>
    <row r="1538">
      <c r="A1538" s="54">
        <f t="shared" si="12"/>
        <v>45319</v>
      </c>
      <c r="B1538" s="8">
        <f t="shared" si="13"/>
        <v>915502440.7</v>
      </c>
      <c r="C1538" s="8">
        <f t="shared" si="14"/>
        <v>0.0005178082192</v>
      </c>
      <c r="D1538" s="8">
        <v>4890.97</v>
      </c>
      <c r="E1538" s="8">
        <f t="shared" si="17"/>
        <v>0</v>
      </c>
      <c r="F1538" s="53">
        <v>4.859386061</v>
      </c>
      <c r="G1538" s="8">
        <f t="shared" si="16"/>
        <v>0.0001331338647</v>
      </c>
      <c r="H1538" s="8">
        <f t="shared" si="11"/>
        <v>4890.97</v>
      </c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</row>
    <row r="1539">
      <c r="A1539" s="54">
        <f t="shared" si="12"/>
        <v>45320</v>
      </c>
      <c r="B1539" s="8">
        <f t="shared" si="13"/>
        <v>915976495.4</v>
      </c>
      <c r="C1539" s="8">
        <f t="shared" si="14"/>
        <v>0.0005178082192</v>
      </c>
      <c r="D1539" s="8">
        <v>4927.93</v>
      </c>
      <c r="E1539" s="8">
        <f t="shared" si="17"/>
        <v>0.007556783215</v>
      </c>
      <c r="F1539" s="53">
        <v>4.935276806</v>
      </c>
      <c r="G1539" s="8">
        <f t="shared" si="16"/>
        <v>0.0001352130632</v>
      </c>
      <c r="H1539" s="8">
        <f t="shared" si="11"/>
        <v>4927.93</v>
      </c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</row>
    <row r="1540">
      <c r="A1540" s="54">
        <f t="shared" si="12"/>
        <v>45321</v>
      </c>
      <c r="B1540" s="8">
        <f t="shared" si="13"/>
        <v>916450795.6</v>
      </c>
      <c r="C1540" s="8">
        <f t="shared" si="14"/>
        <v>0.0005178082192</v>
      </c>
      <c r="D1540" s="8">
        <v>4924.97</v>
      </c>
      <c r="E1540" s="8">
        <f t="shared" si="17"/>
        <v>-0.0006006578827</v>
      </c>
      <c r="F1540" s="53">
        <v>4.829031625</v>
      </c>
      <c r="G1540" s="8">
        <f t="shared" si="16"/>
        <v>0.0001323022363</v>
      </c>
      <c r="H1540" s="8">
        <f t="shared" si="11"/>
        <v>4924.97</v>
      </c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</row>
    <row r="1541">
      <c r="A1541" s="54">
        <f t="shared" si="12"/>
        <v>45322</v>
      </c>
      <c r="B1541" s="8">
        <f t="shared" si="13"/>
        <v>916925341.3</v>
      </c>
      <c r="C1541" s="8">
        <f t="shared" si="14"/>
        <v>0.0005178082192</v>
      </c>
      <c r="D1541" s="8">
        <v>4845.65</v>
      </c>
      <c r="E1541" s="8">
        <f t="shared" si="17"/>
        <v>-0.01610568186</v>
      </c>
      <c r="F1541" s="53">
        <v>5.01092577</v>
      </c>
      <c r="G1541" s="8">
        <f t="shared" si="16"/>
        <v>0.0001372856375</v>
      </c>
      <c r="H1541" s="8">
        <f t="shared" si="11"/>
        <v>4845.65</v>
      </c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</row>
    <row r="1542">
      <c r="A1542" s="54">
        <f t="shared" si="12"/>
        <v>45323</v>
      </c>
      <c r="B1542" s="8">
        <f t="shared" si="13"/>
        <v>917400132.8</v>
      </c>
      <c r="C1542" s="8">
        <f t="shared" si="14"/>
        <v>0.0005178082192</v>
      </c>
      <c r="D1542" s="8">
        <v>4906.19</v>
      </c>
      <c r="E1542" s="8">
        <f t="shared" si="17"/>
        <v>0.0124936799</v>
      </c>
      <c r="F1542" s="53">
        <v>4.997090281</v>
      </c>
      <c r="G1542" s="8">
        <f t="shared" si="16"/>
        <v>0.000136906583</v>
      </c>
      <c r="H1542" s="8">
        <f t="shared" si="11"/>
        <v>4906.19</v>
      </c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</row>
    <row r="1543">
      <c r="A1543" s="54">
        <f t="shared" si="12"/>
        <v>45324</v>
      </c>
      <c r="B1543" s="8">
        <f t="shared" si="13"/>
        <v>917875170.1</v>
      </c>
      <c r="C1543" s="8">
        <f t="shared" si="14"/>
        <v>0.0005178082192</v>
      </c>
      <c r="D1543" s="8">
        <v>4958.61</v>
      </c>
      <c r="E1543" s="8">
        <f t="shared" si="17"/>
        <v>0.01068446187</v>
      </c>
      <c r="F1543" s="53">
        <v>4.920301155</v>
      </c>
      <c r="G1543" s="8">
        <f t="shared" si="16"/>
        <v>0.0001348027714</v>
      </c>
      <c r="H1543" s="8">
        <f t="shared" si="11"/>
        <v>4958.61</v>
      </c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</row>
    <row r="1544">
      <c r="A1544" s="54">
        <f t="shared" si="12"/>
        <v>45325</v>
      </c>
      <c r="B1544" s="8">
        <f t="shared" si="13"/>
        <v>918350453.4</v>
      </c>
      <c r="C1544" s="8">
        <f t="shared" si="14"/>
        <v>0.0005178082192</v>
      </c>
      <c r="D1544" s="8">
        <v>4958.61</v>
      </c>
      <c r="E1544" s="8">
        <f t="shared" si="17"/>
        <v>0</v>
      </c>
      <c r="F1544" s="53">
        <v>4.909226467</v>
      </c>
      <c r="G1544" s="8">
        <f t="shared" si="16"/>
        <v>0.0001344993553</v>
      </c>
      <c r="H1544" s="8">
        <f t="shared" si="11"/>
        <v>4958.61</v>
      </c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</row>
    <row r="1545">
      <c r="A1545" s="54">
        <f t="shared" si="12"/>
        <v>45326</v>
      </c>
      <c r="B1545" s="8">
        <f t="shared" si="13"/>
        <v>918825982.8</v>
      </c>
      <c r="C1545" s="8">
        <f t="shared" si="14"/>
        <v>0.0005178082192</v>
      </c>
      <c r="D1545" s="8">
        <v>4958.61</v>
      </c>
      <c r="E1545" s="8">
        <f t="shared" si="17"/>
        <v>0</v>
      </c>
      <c r="F1545" s="53">
        <v>4.915984428</v>
      </c>
      <c r="G1545" s="8">
        <f t="shared" si="16"/>
        <v>0.0001346845049</v>
      </c>
      <c r="H1545" s="8">
        <f t="shared" si="11"/>
        <v>4958.61</v>
      </c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</row>
    <row r="1546">
      <c r="A1546" s="54">
        <f t="shared" si="12"/>
        <v>45327</v>
      </c>
      <c r="B1546" s="8">
        <f t="shared" si="13"/>
        <v>919301758.5</v>
      </c>
      <c r="C1546" s="8">
        <f t="shared" si="14"/>
        <v>0.0005178082192</v>
      </c>
      <c r="D1546" s="8">
        <v>4942.81</v>
      </c>
      <c r="E1546" s="8">
        <f t="shared" si="17"/>
        <v>-0.003186376827</v>
      </c>
      <c r="F1546" s="53">
        <v>4.86963082</v>
      </c>
      <c r="G1546" s="8">
        <f t="shared" si="16"/>
        <v>0.000133414543</v>
      </c>
      <c r="H1546" s="8">
        <f t="shared" si="11"/>
        <v>4942.81</v>
      </c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</row>
    <row r="1547">
      <c r="A1547" s="54">
        <f t="shared" si="12"/>
        <v>45328</v>
      </c>
      <c r="B1547" s="8">
        <f t="shared" si="13"/>
        <v>919777780.5</v>
      </c>
      <c r="C1547" s="8">
        <f t="shared" si="14"/>
        <v>0.0005178082192</v>
      </c>
      <c r="D1547" s="8">
        <v>4954.23</v>
      </c>
      <c r="E1547" s="8">
        <f t="shared" si="17"/>
        <v>0.00231042666</v>
      </c>
      <c r="F1547" s="53">
        <v>4.849671099</v>
      </c>
      <c r="G1547" s="8">
        <f t="shared" si="16"/>
        <v>0.0001328677013</v>
      </c>
      <c r="H1547" s="8">
        <f t="shared" si="11"/>
        <v>4954.23</v>
      </c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</row>
    <row r="1548">
      <c r="A1548" s="54">
        <f t="shared" si="12"/>
        <v>45329</v>
      </c>
      <c r="B1548" s="8">
        <f t="shared" si="13"/>
        <v>920254049</v>
      </c>
      <c r="C1548" s="8">
        <f t="shared" si="14"/>
        <v>0.0005178082192</v>
      </c>
      <c r="D1548" s="8">
        <v>4995.06</v>
      </c>
      <c r="E1548" s="8">
        <f t="shared" si="17"/>
        <v>0.008241442162</v>
      </c>
      <c r="F1548" s="53">
        <v>4.986256445</v>
      </c>
      <c r="G1548" s="8">
        <f t="shared" si="16"/>
        <v>0.0001366097656</v>
      </c>
      <c r="H1548" s="8">
        <f t="shared" si="11"/>
        <v>4995.06</v>
      </c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</row>
    <row r="1549">
      <c r="A1549" s="54">
        <f t="shared" si="12"/>
        <v>45330</v>
      </c>
      <c r="B1549" s="8">
        <f t="shared" si="13"/>
        <v>920730564.1</v>
      </c>
      <c r="C1549" s="8">
        <f t="shared" si="14"/>
        <v>0.0005178082192</v>
      </c>
      <c r="D1549" s="8">
        <v>4997.91</v>
      </c>
      <c r="E1549" s="8">
        <f t="shared" si="17"/>
        <v>0.000570563717</v>
      </c>
      <c r="F1549" s="53">
        <v>4.927615245</v>
      </c>
      <c r="G1549" s="8">
        <f t="shared" si="16"/>
        <v>0.0001350031574</v>
      </c>
      <c r="H1549" s="8">
        <f t="shared" si="11"/>
        <v>4997.91</v>
      </c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</row>
    <row r="1550">
      <c r="A1550" s="54">
        <f t="shared" si="12"/>
        <v>45331</v>
      </c>
      <c r="B1550" s="8">
        <f t="shared" si="13"/>
        <v>921207325.9</v>
      </c>
      <c r="C1550" s="8">
        <f t="shared" si="14"/>
        <v>0.0005178082192</v>
      </c>
      <c r="D1550" s="8">
        <v>5026.61</v>
      </c>
      <c r="E1550" s="8">
        <f t="shared" si="17"/>
        <v>0.005742400323</v>
      </c>
      <c r="F1550" s="53">
        <v>4.864326257</v>
      </c>
      <c r="G1550" s="8">
        <f t="shared" si="16"/>
        <v>0.0001332692125</v>
      </c>
      <c r="H1550" s="8">
        <f t="shared" si="11"/>
        <v>5026.61</v>
      </c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</row>
    <row r="1551">
      <c r="A1551" s="54">
        <f t="shared" si="12"/>
        <v>45332</v>
      </c>
      <c r="B1551" s="8">
        <f t="shared" si="13"/>
        <v>921684334.7</v>
      </c>
      <c r="C1551" s="8">
        <f t="shared" si="14"/>
        <v>0.0005178082192</v>
      </c>
      <c r="D1551" s="8">
        <v>5026.61</v>
      </c>
      <c r="E1551" s="8">
        <f t="shared" si="17"/>
        <v>0</v>
      </c>
      <c r="F1551" s="53">
        <v>4.941418635</v>
      </c>
      <c r="G1551" s="8">
        <f t="shared" si="16"/>
        <v>0.0001353813325</v>
      </c>
      <c r="H1551" s="8">
        <f t="shared" si="11"/>
        <v>5026.61</v>
      </c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</row>
    <row r="1552">
      <c r="A1552" s="54">
        <f t="shared" si="12"/>
        <v>45333</v>
      </c>
      <c r="B1552" s="8">
        <f t="shared" si="13"/>
        <v>922161590.4</v>
      </c>
      <c r="C1552" s="8">
        <f t="shared" si="14"/>
        <v>0.0005178082192</v>
      </c>
      <c r="D1552" s="8">
        <v>5026.61</v>
      </c>
      <c r="E1552" s="8">
        <f t="shared" si="17"/>
        <v>0</v>
      </c>
      <c r="F1552" s="53">
        <v>4.889235669</v>
      </c>
      <c r="G1552" s="8">
        <f t="shared" si="16"/>
        <v>0.0001339516622</v>
      </c>
      <c r="H1552" s="8">
        <f t="shared" si="11"/>
        <v>5026.61</v>
      </c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</row>
    <row r="1553">
      <c r="A1553" s="54">
        <f t="shared" si="12"/>
        <v>45334</v>
      </c>
      <c r="B1553" s="8">
        <f t="shared" si="13"/>
        <v>922639093.2</v>
      </c>
      <c r="C1553" s="8">
        <f t="shared" si="14"/>
        <v>0.0005178082192</v>
      </c>
      <c r="D1553" s="8">
        <v>5021.84</v>
      </c>
      <c r="E1553" s="8">
        <f t="shared" si="17"/>
        <v>-0.0009489496898</v>
      </c>
      <c r="F1553" s="53">
        <v>4.926161816</v>
      </c>
      <c r="G1553" s="8">
        <f t="shared" si="16"/>
        <v>0.0001349633374</v>
      </c>
      <c r="H1553" s="8">
        <f t="shared" si="11"/>
        <v>5021.84</v>
      </c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</row>
    <row r="1554">
      <c r="A1554" s="54">
        <f t="shared" si="12"/>
        <v>45335</v>
      </c>
      <c r="B1554" s="8">
        <f t="shared" si="13"/>
        <v>923116843.4</v>
      </c>
      <c r="C1554" s="8">
        <f t="shared" si="14"/>
        <v>0.0005178082192</v>
      </c>
      <c r="D1554" s="8">
        <v>4953.17</v>
      </c>
      <c r="E1554" s="8">
        <f t="shared" si="17"/>
        <v>-0.01367427079</v>
      </c>
      <c r="F1554" s="53">
        <v>4.901315064</v>
      </c>
      <c r="G1554" s="8">
        <f t="shared" si="16"/>
        <v>0.0001342826045</v>
      </c>
      <c r="H1554" s="8">
        <f t="shared" si="11"/>
        <v>4953.17</v>
      </c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</row>
    <row r="1555">
      <c r="A1555" s="54">
        <f t="shared" si="12"/>
        <v>45336</v>
      </c>
      <c r="B1555" s="8">
        <f t="shared" si="13"/>
        <v>923594840.8</v>
      </c>
      <c r="C1555" s="8">
        <f t="shared" si="14"/>
        <v>0.0005178082192</v>
      </c>
      <c r="D1555" s="8">
        <v>5000.62</v>
      </c>
      <c r="E1555" s="8">
        <f t="shared" si="17"/>
        <v>0.009579723692</v>
      </c>
      <c r="F1555" s="53">
        <v>4.90303888</v>
      </c>
      <c r="G1555" s="8">
        <f t="shared" si="16"/>
        <v>0.0001343298323</v>
      </c>
      <c r="H1555" s="8">
        <f t="shared" si="11"/>
        <v>5000.62</v>
      </c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</row>
    <row r="1556">
      <c r="A1556" s="54">
        <f t="shared" si="12"/>
        <v>45337</v>
      </c>
      <c r="B1556" s="8">
        <f t="shared" si="13"/>
        <v>924073085.8</v>
      </c>
      <c r="C1556" s="8">
        <f t="shared" si="14"/>
        <v>0.0005178082192</v>
      </c>
      <c r="D1556" s="8">
        <v>5029.73</v>
      </c>
      <c r="E1556" s="8">
        <f t="shared" si="17"/>
        <v>0.005821278162</v>
      </c>
      <c r="F1556" s="53">
        <v>4.851167007</v>
      </c>
      <c r="G1556" s="8">
        <f t="shared" si="16"/>
        <v>0.0001329086851</v>
      </c>
      <c r="H1556" s="8">
        <f t="shared" si="11"/>
        <v>5029.73</v>
      </c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</row>
    <row r="1557">
      <c r="A1557" s="54">
        <f t="shared" si="12"/>
        <v>45338</v>
      </c>
      <c r="B1557" s="8">
        <f t="shared" si="13"/>
        <v>924551578.5</v>
      </c>
      <c r="C1557" s="8">
        <f t="shared" si="14"/>
        <v>0.0005178082192</v>
      </c>
      <c r="D1557" s="8">
        <v>5005.57</v>
      </c>
      <c r="E1557" s="8">
        <f t="shared" si="17"/>
        <v>-0.004803438753</v>
      </c>
      <c r="F1557" s="53">
        <v>4.919487593</v>
      </c>
      <c r="G1557" s="8">
        <f t="shared" si="16"/>
        <v>0.000134780482</v>
      </c>
      <c r="H1557" s="8">
        <f t="shared" si="11"/>
        <v>5005.57</v>
      </c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</row>
    <row r="1558">
      <c r="A1558" s="54">
        <f t="shared" si="12"/>
        <v>45339</v>
      </c>
      <c r="B1558" s="8">
        <f t="shared" si="13"/>
        <v>925030318.9</v>
      </c>
      <c r="C1558" s="8">
        <f t="shared" si="14"/>
        <v>0.0005178082192</v>
      </c>
      <c r="D1558" s="8">
        <v>5005.57</v>
      </c>
      <c r="E1558" s="8">
        <f t="shared" si="17"/>
        <v>0</v>
      </c>
      <c r="F1558" s="53">
        <v>4.904948955</v>
      </c>
      <c r="G1558" s="8">
        <f t="shared" si="16"/>
        <v>0.0001343821632</v>
      </c>
      <c r="H1558" s="8">
        <f t="shared" si="11"/>
        <v>5005.57</v>
      </c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</row>
    <row r="1559">
      <c r="A1559" s="54">
        <f t="shared" si="12"/>
        <v>45340</v>
      </c>
      <c r="B1559" s="8">
        <f t="shared" si="13"/>
        <v>925509307.2</v>
      </c>
      <c r="C1559" s="8">
        <f t="shared" si="14"/>
        <v>0.0005178082192</v>
      </c>
      <c r="D1559" s="8">
        <v>5005.57</v>
      </c>
      <c r="E1559" s="8">
        <f t="shared" si="17"/>
        <v>0</v>
      </c>
      <c r="F1559" s="53">
        <v>4.960614794</v>
      </c>
      <c r="G1559" s="8">
        <f t="shared" si="16"/>
        <v>0.0001359072546</v>
      </c>
      <c r="H1559" s="8">
        <f t="shared" si="11"/>
        <v>5005.57</v>
      </c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</row>
    <row r="1560">
      <c r="A1560" s="54">
        <f t="shared" si="12"/>
        <v>45341</v>
      </c>
      <c r="B1560" s="8">
        <f t="shared" si="13"/>
        <v>925988543.5</v>
      </c>
      <c r="C1560" s="8">
        <f t="shared" si="14"/>
        <v>0.0005178082192</v>
      </c>
      <c r="D1560" s="8">
        <v>5005.57</v>
      </c>
      <c r="E1560" s="8">
        <f t="shared" si="17"/>
        <v>0</v>
      </c>
      <c r="F1560" s="53">
        <v>4.879217295</v>
      </c>
      <c r="G1560" s="8">
        <f t="shared" si="16"/>
        <v>0.0001336771862</v>
      </c>
      <c r="H1560" s="8">
        <f t="shared" si="11"/>
        <v>5005.57</v>
      </c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</row>
    <row r="1561">
      <c r="A1561" s="54">
        <f t="shared" si="12"/>
        <v>45342</v>
      </c>
      <c r="B1561" s="8">
        <f t="shared" si="13"/>
        <v>926468028</v>
      </c>
      <c r="C1561" s="8">
        <f t="shared" si="14"/>
        <v>0.0005178082192</v>
      </c>
      <c r="D1561" s="8">
        <v>4975.51</v>
      </c>
      <c r="E1561" s="8">
        <f t="shared" si="17"/>
        <v>-0.006005310085</v>
      </c>
      <c r="F1561" s="53">
        <v>4.889813008</v>
      </c>
      <c r="G1561" s="8">
        <f t="shared" si="16"/>
        <v>0.0001339674797</v>
      </c>
      <c r="H1561" s="8">
        <f t="shared" si="11"/>
        <v>4975.51</v>
      </c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</row>
    <row r="1562">
      <c r="A1562" s="54">
        <f t="shared" si="12"/>
        <v>45343</v>
      </c>
      <c r="B1562" s="8">
        <f t="shared" si="13"/>
        <v>926947760.8</v>
      </c>
      <c r="C1562" s="8">
        <f t="shared" si="14"/>
        <v>0.0005178082192</v>
      </c>
      <c r="D1562" s="8">
        <v>4981.8</v>
      </c>
      <c r="E1562" s="8">
        <f t="shared" si="17"/>
        <v>0.001264192012</v>
      </c>
      <c r="F1562" s="53">
        <v>4.86836624</v>
      </c>
      <c r="G1562" s="8">
        <f t="shared" si="16"/>
        <v>0.000133379897</v>
      </c>
      <c r="H1562" s="8">
        <f t="shared" si="11"/>
        <v>4981.8</v>
      </c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</row>
    <row r="1563">
      <c r="A1563" s="54">
        <f t="shared" si="12"/>
        <v>45344</v>
      </c>
      <c r="B1563" s="8">
        <f t="shared" si="13"/>
        <v>927427741.9</v>
      </c>
      <c r="C1563" s="8">
        <f t="shared" si="14"/>
        <v>0.0005178082192</v>
      </c>
      <c r="D1563" s="8">
        <v>5087.03</v>
      </c>
      <c r="E1563" s="8">
        <f t="shared" si="17"/>
        <v>0.02112288731</v>
      </c>
      <c r="F1563" s="53">
        <v>4.951934015</v>
      </c>
      <c r="G1563" s="8">
        <f t="shared" si="16"/>
        <v>0.0001356694251</v>
      </c>
      <c r="H1563" s="8">
        <f t="shared" si="11"/>
        <v>5087.03</v>
      </c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</row>
    <row r="1564">
      <c r="A1564" s="54">
        <f t="shared" si="12"/>
        <v>45345</v>
      </c>
      <c r="B1564" s="8">
        <f t="shared" si="13"/>
        <v>927907971.6</v>
      </c>
      <c r="C1564" s="8">
        <f t="shared" si="14"/>
        <v>0.0005178082192</v>
      </c>
      <c r="D1564" s="8">
        <v>5088.8</v>
      </c>
      <c r="E1564" s="8">
        <f t="shared" si="17"/>
        <v>0.0003479436921</v>
      </c>
      <c r="F1564" s="53">
        <v>4.976956745</v>
      </c>
      <c r="G1564" s="8">
        <f t="shared" si="16"/>
        <v>0.0001363549793</v>
      </c>
      <c r="H1564" s="8">
        <f t="shared" si="11"/>
        <v>5088.8</v>
      </c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</row>
    <row r="1565">
      <c r="A1565" s="54">
        <f t="shared" si="12"/>
        <v>45346</v>
      </c>
      <c r="B1565" s="8">
        <f t="shared" si="13"/>
        <v>928388450</v>
      </c>
      <c r="C1565" s="8">
        <f t="shared" si="14"/>
        <v>0.0005178082192</v>
      </c>
      <c r="D1565" s="8">
        <v>5088.8</v>
      </c>
      <c r="E1565" s="8">
        <f t="shared" si="17"/>
        <v>0</v>
      </c>
      <c r="F1565" s="53">
        <v>4.914367164</v>
      </c>
      <c r="G1565" s="8">
        <f t="shared" si="16"/>
        <v>0.0001346401963</v>
      </c>
      <c r="H1565" s="8">
        <f t="shared" si="11"/>
        <v>5088.8</v>
      </c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</row>
    <row r="1566">
      <c r="A1566" s="54">
        <f t="shared" si="12"/>
        <v>45347</v>
      </c>
      <c r="B1566" s="8">
        <f t="shared" si="13"/>
        <v>928869177.2</v>
      </c>
      <c r="C1566" s="8">
        <f t="shared" si="14"/>
        <v>0.0005178082192</v>
      </c>
      <c r="D1566" s="8">
        <v>5088.8</v>
      </c>
      <c r="E1566" s="8">
        <f t="shared" si="17"/>
        <v>0</v>
      </c>
      <c r="F1566" s="53">
        <v>4.868980327</v>
      </c>
      <c r="G1566" s="8">
        <f t="shared" si="16"/>
        <v>0.0001333967213</v>
      </c>
      <c r="H1566" s="8">
        <f t="shared" si="11"/>
        <v>5088.8</v>
      </c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</row>
    <row r="1567">
      <c r="A1567" s="54">
        <f t="shared" si="12"/>
        <v>45348</v>
      </c>
      <c r="B1567" s="8">
        <f t="shared" si="13"/>
        <v>929350153.3</v>
      </c>
      <c r="C1567" s="8">
        <f t="shared" si="14"/>
        <v>0.0005178082192</v>
      </c>
      <c r="D1567" s="8">
        <v>5069.53</v>
      </c>
      <c r="E1567" s="8">
        <f t="shared" si="17"/>
        <v>-0.003786747367</v>
      </c>
      <c r="F1567" s="53">
        <v>5.021886611</v>
      </c>
      <c r="G1567" s="8">
        <f t="shared" si="16"/>
        <v>0.0001375859345</v>
      </c>
      <c r="H1567" s="8">
        <f t="shared" si="11"/>
        <v>5069.53</v>
      </c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</row>
    <row r="1568">
      <c r="A1568" s="54">
        <f t="shared" si="12"/>
        <v>45349</v>
      </c>
      <c r="B1568" s="8">
        <f t="shared" si="13"/>
        <v>929831378.4</v>
      </c>
      <c r="C1568" s="8">
        <f t="shared" si="14"/>
        <v>0.0005178082192</v>
      </c>
      <c r="D1568" s="8">
        <v>5078.18</v>
      </c>
      <c r="E1568" s="8">
        <f t="shared" si="17"/>
        <v>0.001706272574</v>
      </c>
      <c r="F1568" s="53">
        <v>4.835362992</v>
      </c>
      <c r="G1568" s="8">
        <f t="shared" si="16"/>
        <v>0.0001324756984</v>
      </c>
      <c r="H1568" s="8">
        <f t="shared" si="11"/>
        <v>5078.18</v>
      </c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</row>
    <row r="1569">
      <c r="A1569" s="54">
        <f t="shared" si="12"/>
        <v>45350</v>
      </c>
      <c r="B1569" s="8">
        <f t="shared" si="13"/>
        <v>930312852.7</v>
      </c>
      <c r="C1569" s="8">
        <f t="shared" si="14"/>
        <v>0.0005178082192</v>
      </c>
      <c r="D1569" s="8">
        <v>5069.76</v>
      </c>
      <c r="E1569" s="8">
        <f t="shared" si="17"/>
        <v>-0.001658074349</v>
      </c>
      <c r="F1569" s="53">
        <v>4.859236213</v>
      </c>
      <c r="G1569" s="8">
        <f t="shared" si="16"/>
        <v>0.0001331297593</v>
      </c>
      <c r="H1569" s="8">
        <f t="shared" si="11"/>
        <v>5069.76</v>
      </c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</row>
    <row r="1570">
      <c r="A1570" s="54">
        <f t="shared" si="12"/>
        <v>45351</v>
      </c>
      <c r="B1570" s="8">
        <f t="shared" si="13"/>
        <v>930794576.4</v>
      </c>
      <c r="C1570" s="8">
        <f t="shared" si="14"/>
        <v>0.0005178082192</v>
      </c>
      <c r="D1570" s="8">
        <v>5096.27</v>
      </c>
      <c r="E1570" s="8">
        <f t="shared" si="17"/>
        <v>0.005229044373</v>
      </c>
      <c r="F1570" s="53">
        <v>4.915726344</v>
      </c>
      <c r="G1570" s="8">
        <f t="shared" si="16"/>
        <v>0.0001346774341</v>
      </c>
      <c r="H1570" s="8">
        <f t="shared" si="11"/>
        <v>5096.27</v>
      </c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</row>
    <row r="1571">
      <c r="A1571" s="54">
        <f t="shared" si="12"/>
        <v>45352</v>
      </c>
      <c r="B1571" s="8">
        <f t="shared" si="13"/>
        <v>931276549.5</v>
      </c>
      <c r="C1571" s="8">
        <f t="shared" si="14"/>
        <v>0.0005178082192</v>
      </c>
      <c r="D1571" s="8">
        <v>5137.08</v>
      </c>
      <c r="E1571" s="8">
        <f t="shared" si="17"/>
        <v>0.008007817482</v>
      </c>
      <c r="F1571" s="53">
        <v>4.812505419</v>
      </c>
      <c r="G1571" s="8">
        <f t="shared" si="16"/>
        <v>0.0001318494635</v>
      </c>
      <c r="H1571" s="8">
        <f t="shared" si="11"/>
        <v>5137.08</v>
      </c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</row>
    <row r="1572">
      <c r="A1572" s="54">
        <f t="shared" si="12"/>
        <v>45353</v>
      </c>
      <c r="B1572" s="8">
        <f t="shared" si="13"/>
        <v>931758772.1</v>
      </c>
      <c r="C1572" s="8">
        <f t="shared" si="14"/>
        <v>0.0005178082192</v>
      </c>
      <c r="D1572" s="8">
        <v>5137.08</v>
      </c>
      <c r="E1572" s="8">
        <f t="shared" si="17"/>
        <v>0</v>
      </c>
      <c r="F1572" s="53">
        <v>4.941367006</v>
      </c>
      <c r="G1572" s="8">
        <f t="shared" si="16"/>
        <v>0.000135379918</v>
      </c>
      <c r="H1572" s="8">
        <f t="shared" si="11"/>
        <v>5137.08</v>
      </c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</row>
    <row r="1573">
      <c r="A1573" s="54">
        <f t="shared" si="12"/>
        <v>45354</v>
      </c>
      <c r="B1573" s="8">
        <f t="shared" si="13"/>
        <v>932241244.5</v>
      </c>
      <c r="C1573" s="8">
        <f t="shared" si="14"/>
        <v>0.0005178082192</v>
      </c>
      <c r="D1573" s="8">
        <v>5137.08</v>
      </c>
      <c r="E1573" s="8">
        <f t="shared" si="17"/>
        <v>0</v>
      </c>
      <c r="F1573" s="53">
        <v>4.864061966</v>
      </c>
      <c r="G1573" s="8">
        <f t="shared" si="16"/>
        <v>0.0001332619717</v>
      </c>
      <c r="H1573" s="8">
        <f t="shared" si="11"/>
        <v>5137.08</v>
      </c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</row>
    <row r="1574">
      <c r="A1574" s="54">
        <f t="shared" si="12"/>
        <v>45355</v>
      </c>
      <c r="B1574" s="8">
        <f t="shared" si="13"/>
        <v>932723966.7</v>
      </c>
      <c r="C1574" s="8">
        <f t="shared" si="14"/>
        <v>0.0005178082192</v>
      </c>
      <c r="D1574" s="8">
        <v>5130.95</v>
      </c>
      <c r="E1574" s="8">
        <f t="shared" si="17"/>
        <v>-0.001193284901</v>
      </c>
      <c r="F1574" s="53">
        <v>4.928755244</v>
      </c>
      <c r="G1574" s="8">
        <f t="shared" si="16"/>
        <v>0.0001350343902</v>
      </c>
      <c r="H1574" s="8">
        <f t="shared" si="11"/>
        <v>5130.95</v>
      </c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</row>
    <row r="1575">
      <c r="A1575" s="54">
        <f t="shared" si="12"/>
        <v>45356</v>
      </c>
      <c r="B1575" s="8">
        <f t="shared" si="13"/>
        <v>933206938.8</v>
      </c>
      <c r="C1575" s="8">
        <f t="shared" si="14"/>
        <v>0.0005178082192</v>
      </c>
      <c r="D1575" s="8">
        <v>5078.65</v>
      </c>
      <c r="E1575" s="8">
        <f t="shared" si="17"/>
        <v>-0.01019304417</v>
      </c>
      <c r="F1575" s="53">
        <v>4.891082134</v>
      </c>
      <c r="G1575" s="8">
        <f t="shared" si="16"/>
        <v>0.0001340022502</v>
      </c>
      <c r="H1575" s="8">
        <f t="shared" si="11"/>
        <v>5078.65</v>
      </c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</row>
    <row r="1576">
      <c r="A1576" s="54">
        <f t="shared" si="12"/>
        <v>45357</v>
      </c>
      <c r="B1576" s="8">
        <f t="shared" si="13"/>
        <v>933690161</v>
      </c>
      <c r="C1576" s="8">
        <f t="shared" si="14"/>
        <v>0.0005178082192</v>
      </c>
      <c r="D1576" s="8">
        <v>5104.76</v>
      </c>
      <c r="E1576" s="8">
        <f t="shared" si="17"/>
        <v>0.005141130025</v>
      </c>
      <c r="F1576" s="53">
        <v>4.888671537</v>
      </c>
      <c r="G1576" s="8">
        <f t="shared" si="16"/>
        <v>0.0001339362065</v>
      </c>
      <c r="H1576" s="8">
        <f t="shared" si="11"/>
        <v>5104.76</v>
      </c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</row>
    <row r="1577">
      <c r="A1577" s="54">
        <f t="shared" si="12"/>
        <v>45358</v>
      </c>
      <c r="B1577" s="8">
        <f t="shared" si="13"/>
        <v>934173633.5</v>
      </c>
      <c r="C1577" s="8">
        <f t="shared" si="14"/>
        <v>0.0005178082192</v>
      </c>
      <c r="D1577" s="8">
        <v>5157.36</v>
      </c>
      <c r="E1577" s="8">
        <f t="shared" si="17"/>
        <v>0.01030410832</v>
      </c>
      <c r="F1577" s="53">
        <v>4.887313269</v>
      </c>
      <c r="G1577" s="8">
        <f t="shared" si="16"/>
        <v>0.0001338989937</v>
      </c>
      <c r="H1577" s="8">
        <f t="shared" si="11"/>
        <v>5157.36</v>
      </c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</row>
    <row r="1578">
      <c r="A1578" s="54">
        <f t="shared" si="12"/>
        <v>45359</v>
      </c>
      <c r="B1578" s="8">
        <f t="shared" si="13"/>
        <v>934657356.2</v>
      </c>
      <c r="C1578" s="8">
        <f t="shared" si="14"/>
        <v>0.0005178082192</v>
      </c>
      <c r="D1578" s="8">
        <v>5123.69</v>
      </c>
      <c r="E1578" s="8">
        <f t="shared" si="17"/>
        <v>-0.006528533979</v>
      </c>
      <c r="F1578" s="53">
        <v>4.952727353</v>
      </c>
      <c r="G1578" s="8">
        <f t="shared" si="16"/>
        <v>0.0001356911604</v>
      </c>
      <c r="H1578" s="8">
        <f t="shared" si="11"/>
        <v>5123.69</v>
      </c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</row>
    <row r="1579">
      <c r="A1579" s="54">
        <f t="shared" si="12"/>
        <v>45360</v>
      </c>
      <c r="B1579" s="8">
        <f t="shared" si="13"/>
        <v>935141329.5</v>
      </c>
      <c r="C1579" s="8">
        <f t="shared" si="14"/>
        <v>0.0005178082192</v>
      </c>
      <c r="D1579" s="8">
        <v>5123.69</v>
      </c>
      <c r="E1579" s="8">
        <f t="shared" si="17"/>
        <v>0</v>
      </c>
      <c r="F1579" s="53">
        <v>5.009154773</v>
      </c>
      <c r="G1579" s="8">
        <f t="shared" si="16"/>
        <v>0.0001372371171</v>
      </c>
      <c r="H1579" s="8">
        <f t="shared" si="11"/>
        <v>5123.69</v>
      </c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</row>
    <row r="1580">
      <c r="A1580" s="54">
        <f t="shared" si="12"/>
        <v>45361</v>
      </c>
      <c r="B1580" s="8">
        <f t="shared" si="13"/>
        <v>935625553.4</v>
      </c>
      <c r="C1580" s="8">
        <f t="shared" si="14"/>
        <v>0.0005178082192</v>
      </c>
      <c r="D1580" s="8">
        <v>5123.69</v>
      </c>
      <c r="E1580" s="8">
        <f t="shared" si="17"/>
        <v>0</v>
      </c>
      <c r="F1580" s="53">
        <v>4.93305943</v>
      </c>
      <c r="G1580" s="8">
        <f t="shared" si="16"/>
        <v>0.0001351523132</v>
      </c>
      <c r="H1580" s="8">
        <f t="shared" si="11"/>
        <v>5123.69</v>
      </c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</row>
    <row r="1581">
      <c r="A1581" s="54">
        <f t="shared" si="12"/>
        <v>45362</v>
      </c>
      <c r="B1581" s="8">
        <f t="shared" si="13"/>
        <v>936110028</v>
      </c>
      <c r="C1581" s="8">
        <f t="shared" si="14"/>
        <v>0.0005178082192</v>
      </c>
      <c r="D1581" s="8">
        <v>5117.94</v>
      </c>
      <c r="E1581" s="8">
        <f t="shared" si="17"/>
        <v>-0.001122238075</v>
      </c>
      <c r="F1581" s="53">
        <v>4.861545465</v>
      </c>
      <c r="G1581" s="8">
        <f t="shared" si="16"/>
        <v>0.0001331930264</v>
      </c>
      <c r="H1581" s="8">
        <f t="shared" si="11"/>
        <v>5117.94</v>
      </c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</row>
    <row r="1582">
      <c r="A1582" s="54">
        <f t="shared" si="12"/>
        <v>45363</v>
      </c>
      <c r="B1582" s="8">
        <f t="shared" si="13"/>
        <v>936594753.4</v>
      </c>
      <c r="C1582" s="8">
        <f t="shared" si="14"/>
        <v>0.0005178082192</v>
      </c>
      <c r="D1582" s="8">
        <v>5175.27</v>
      </c>
      <c r="E1582" s="8">
        <f t="shared" si="17"/>
        <v>0.01120177259</v>
      </c>
      <c r="F1582" s="53">
        <v>4.846099111</v>
      </c>
      <c r="G1582" s="8">
        <f t="shared" si="16"/>
        <v>0.0001327698387</v>
      </c>
      <c r="H1582" s="8">
        <f t="shared" si="11"/>
        <v>5175.27</v>
      </c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</row>
    <row r="1583">
      <c r="A1583" s="54">
        <f t="shared" si="12"/>
        <v>45364</v>
      </c>
      <c r="B1583" s="8">
        <f t="shared" si="13"/>
        <v>937079729.9</v>
      </c>
      <c r="C1583" s="8">
        <f t="shared" si="14"/>
        <v>0.0005178082192</v>
      </c>
      <c r="D1583" s="8">
        <v>5165.31</v>
      </c>
      <c r="E1583" s="8">
        <f t="shared" si="17"/>
        <v>-0.001924537271</v>
      </c>
      <c r="F1583" s="53">
        <v>4.946933327</v>
      </c>
      <c r="G1583" s="8">
        <f t="shared" si="16"/>
        <v>0.0001355324199</v>
      </c>
      <c r="H1583" s="8">
        <f t="shared" si="11"/>
        <v>5165.31</v>
      </c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</row>
    <row r="1584">
      <c r="A1584" s="54">
        <f t="shared" si="12"/>
        <v>45365</v>
      </c>
      <c r="B1584" s="8">
        <f t="shared" si="13"/>
        <v>937564957.5</v>
      </c>
      <c r="C1584" s="8">
        <f t="shared" si="14"/>
        <v>0.0005178082192</v>
      </c>
      <c r="D1584" s="8">
        <v>5150.48</v>
      </c>
      <c r="E1584" s="8">
        <f t="shared" si="17"/>
        <v>-0.00287107647</v>
      </c>
      <c r="F1584" s="53">
        <v>4.936335805</v>
      </c>
      <c r="G1584" s="8">
        <f t="shared" si="16"/>
        <v>0.0001352420768</v>
      </c>
      <c r="H1584" s="8">
        <f t="shared" si="11"/>
        <v>5150.48</v>
      </c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</row>
    <row r="1585">
      <c r="A1585" s="54">
        <f t="shared" si="12"/>
        <v>45366</v>
      </c>
      <c r="B1585" s="8">
        <f t="shared" si="13"/>
        <v>938050436.3</v>
      </c>
      <c r="C1585" s="8">
        <f t="shared" si="14"/>
        <v>0.0005178082192</v>
      </c>
      <c r="D1585" s="8">
        <v>5117.09</v>
      </c>
      <c r="E1585" s="8">
        <f t="shared" si="17"/>
        <v>-0.006482890915</v>
      </c>
      <c r="F1585" s="53">
        <v>4.934124706</v>
      </c>
      <c r="G1585" s="8">
        <f t="shared" si="16"/>
        <v>0.0001351814988</v>
      </c>
      <c r="H1585" s="8">
        <f t="shared" si="11"/>
        <v>5117.09</v>
      </c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</row>
    <row r="1586">
      <c r="A1586" s="54">
        <f t="shared" si="12"/>
        <v>45367</v>
      </c>
      <c r="B1586" s="8">
        <f t="shared" si="13"/>
        <v>938536166.5</v>
      </c>
      <c r="C1586" s="8">
        <f t="shared" si="14"/>
        <v>0.0005178082192</v>
      </c>
      <c r="D1586" s="8">
        <v>5117.09</v>
      </c>
      <c r="E1586" s="8">
        <f t="shared" si="17"/>
        <v>0</v>
      </c>
      <c r="F1586" s="53">
        <v>4.940512603</v>
      </c>
      <c r="G1586" s="8">
        <f t="shared" si="16"/>
        <v>0.0001353565097</v>
      </c>
      <c r="H1586" s="8">
        <f t="shared" si="11"/>
        <v>5117.09</v>
      </c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</row>
    <row r="1587">
      <c r="A1587" s="54">
        <f t="shared" si="12"/>
        <v>45368</v>
      </c>
      <c r="B1587" s="8">
        <f t="shared" si="13"/>
        <v>939022148.3</v>
      </c>
      <c r="C1587" s="8">
        <f t="shared" si="14"/>
        <v>0.0005178082192</v>
      </c>
      <c r="D1587" s="8">
        <v>5117.09</v>
      </c>
      <c r="E1587" s="8">
        <f t="shared" si="17"/>
        <v>0</v>
      </c>
      <c r="F1587" s="53">
        <v>4.961216561</v>
      </c>
      <c r="G1587" s="8">
        <f t="shared" si="16"/>
        <v>0.0001359237414</v>
      </c>
      <c r="H1587" s="8">
        <f t="shared" si="11"/>
        <v>5117.09</v>
      </c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</row>
    <row r="1588">
      <c r="A1588" s="54">
        <f t="shared" si="12"/>
        <v>45369</v>
      </c>
      <c r="B1588" s="8">
        <f t="shared" si="13"/>
        <v>939508381.7</v>
      </c>
      <c r="C1588" s="8">
        <f t="shared" si="14"/>
        <v>0.0005178082192</v>
      </c>
      <c r="D1588" s="8">
        <v>5149.42</v>
      </c>
      <c r="E1588" s="8">
        <f t="shared" si="17"/>
        <v>0.006318044045</v>
      </c>
      <c r="F1588" s="53">
        <v>4.861639125</v>
      </c>
      <c r="G1588" s="8">
        <f t="shared" si="16"/>
        <v>0.0001331955925</v>
      </c>
      <c r="H1588" s="8">
        <f t="shared" si="11"/>
        <v>5149.42</v>
      </c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</row>
    <row r="1589">
      <c r="A1589" s="54">
        <f t="shared" si="12"/>
        <v>45370</v>
      </c>
      <c r="B1589" s="8">
        <f t="shared" si="13"/>
        <v>939994866.8</v>
      </c>
      <c r="C1589" s="8">
        <f t="shared" si="14"/>
        <v>0.0005178082192</v>
      </c>
      <c r="D1589" s="8">
        <v>5178.51</v>
      </c>
      <c r="E1589" s="8">
        <f t="shared" si="17"/>
        <v>0.005649179908</v>
      </c>
      <c r="F1589" s="53">
        <v>4.944831715</v>
      </c>
      <c r="G1589" s="8">
        <f t="shared" si="16"/>
        <v>0.0001354748415</v>
      </c>
      <c r="H1589" s="8">
        <f t="shared" si="11"/>
        <v>5178.51</v>
      </c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</row>
    <row r="1590">
      <c r="A1590" s="54">
        <f t="shared" si="12"/>
        <v>45371</v>
      </c>
      <c r="B1590" s="8">
        <f t="shared" si="13"/>
        <v>940481603.9</v>
      </c>
      <c r="C1590" s="8">
        <f t="shared" si="14"/>
        <v>0.0005178082192</v>
      </c>
      <c r="D1590" s="8">
        <v>5224.62</v>
      </c>
      <c r="E1590" s="8">
        <f t="shared" si="17"/>
        <v>0.008904105621</v>
      </c>
      <c r="F1590" s="53">
        <v>4.974555089</v>
      </c>
      <c r="G1590" s="8">
        <f t="shared" si="16"/>
        <v>0.0001362891805</v>
      </c>
      <c r="H1590" s="8">
        <f t="shared" si="11"/>
        <v>5224.62</v>
      </c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</row>
    <row r="1591">
      <c r="A1591" s="54">
        <f t="shared" si="12"/>
        <v>45372</v>
      </c>
      <c r="B1591" s="8">
        <f t="shared" si="13"/>
        <v>940968593</v>
      </c>
      <c r="C1591" s="8">
        <f t="shared" si="14"/>
        <v>0.0005178082192</v>
      </c>
      <c r="D1591" s="8">
        <v>5241.53</v>
      </c>
      <c r="E1591" s="8">
        <f t="shared" si="17"/>
        <v>0.003236599025</v>
      </c>
      <c r="F1591" s="53">
        <v>4.936778688</v>
      </c>
      <c r="G1591" s="8">
        <f t="shared" si="16"/>
        <v>0.0001352542106</v>
      </c>
      <c r="H1591" s="8">
        <f t="shared" si="11"/>
        <v>5241.53</v>
      </c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</row>
    <row r="1592">
      <c r="A1592" s="54">
        <f t="shared" si="12"/>
        <v>45373</v>
      </c>
      <c r="B1592" s="8">
        <f t="shared" si="13"/>
        <v>941455834.3</v>
      </c>
      <c r="C1592" s="8">
        <f t="shared" si="14"/>
        <v>0.0005178082192</v>
      </c>
      <c r="D1592" s="8">
        <v>5234.18</v>
      </c>
      <c r="E1592" s="8">
        <f t="shared" si="17"/>
        <v>-0.001402262317</v>
      </c>
      <c r="F1592" s="53">
        <v>4.9369134</v>
      </c>
      <c r="G1592" s="8">
        <f t="shared" si="16"/>
        <v>0.0001352579014</v>
      </c>
      <c r="H1592" s="8">
        <f t="shared" si="11"/>
        <v>5234.18</v>
      </c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</row>
    <row r="1593">
      <c r="A1593" s="54">
        <f t="shared" si="12"/>
        <v>45374</v>
      </c>
      <c r="B1593" s="8">
        <f t="shared" si="13"/>
        <v>941943327.9</v>
      </c>
      <c r="C1593" s="8">
        <f t="shared" si="14"/>
        <v>0.0005178082192</v>
      </c>
      <c r="D1593" s="8">
        <v>5234.18</v>
      </c>
      <c r="E1593" s="8">
        <f t="shared" si="17"/>
        <v>0</v>
      </c>
      <c r="F1593" s="53">
        <v>4.889254827</v>
      </c>
      <c r="G1593" s="8">
        <f t="shared" si="16"/>
        <v>0.000133952187</v>
      </c>
      <c r="H1593" s="8">
        <f t="shared" si="11"/>
        <v>5234.18</v>
      </c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</row>
    <row r="1594">
      <c r="A1594" s="54">
        <f t="shared" si="12"/>
        <v>45375</v>
      </c>
      <c r="B1594" s="8">
        <f t="shared" si="13"/>
        <v>942431073.8</v>
      </c>
      <c r="C1594" s="8">
        <f t="shared" si="14"/>
        <v>0.0005178082192</v>
      </c>
      <c r="D1594" s="8">
        <v>5234.18</v>
      </c>
      <c r="E1594" s="8">
        <f t="shared" si="17"/>
        <v>0</v>
      </c>
      <c r="F1594" s="53">
        <v>4.903747437</v>
      </c>
      <c r="G1594" s="8">
        <f t="shared" si="16"/>
        <v>0.0001343492448</v>
      </c>
      <c r="H1594" s="8">
        <f t="shared" si="11"/>
        <v>5234.18</v>
      </c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</row>
    <row r="1595">
      <c r="A1595" s="54">
        <f t="shared" si="12"/>
        <v>45376</v>
      </c>
      <c r="B1595" s="8">
        <f t="shared" si="13"/>
        <v>942919072.4</v>
      </c>
      <c r="C1595" s="8">
        <f t="shared" si="14"/>
        <v>0.0005178082192</v>
      </c>
      <c r="D1595" s="8">
        <v>5218.19</v>
      </c>
      <c r="E1595" s="8">
        <f t="shared" si="17"/>
        <v>-0.003054919777</v>
      </c>
      <c r="F1595" s="53">
        <v>4.869164696</v>
      </c>
      <c r="G1595" s="8">
        <f t="shared" si="16"/>
        <v>0.0001334017725</v>
      </c>
      <c r="H1595" s="8">
        <f t="shared" si="11"/>
        <v>5218.19</v>
      </c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</row>
    <row r="1596">
      <c r="A1596" s="54">
        <f t="shared" si="12"/>
        <v>45377</v>
      </c>
      <c r="B1596" s="8">
        <f t="shared" si="13"/>
        <v>943407323.6</v>
      </c>
      <c r="C1596" s="8">
        <f t="shared" si="14"/>
        <v>0.0005178082192</v>
      </c>
      <c r="D1596" s="8">
        <v>5203.58</v>
      </c>
      <c r="E1596" s="8">
        <f t="shared" si="17"/>
        <v>-0.002799821394</v>
      </c>
      <c r="F1596" s="53">
        <v>4.946035847</v>
      </c>
      <c r="G1596" s="8">
        <f t="shared" si="16"/>
        <v>0.0001355078314</v>
      </c>
      <c r="H1596" s="8">
        <f t="shared" si="11"/>
        <v>5203.58</v>
      </c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</row>
    <row r="1597">
      <c r="A1597" s="54">
        <f t="shared" si="12"/>
        <v>45378</v>
      </c>
      <c r="B1597" s="8">
        <f t="shared" si="13"/>
        <v>943895827.7</v>
      </c>
      <c r="C1597" s="8">
        <f t="shared" si="14"/>
        <v>0.0005178082192</v>
      </c>
      <c r="D1597" s="8">
        <v>5248.49</v>
      </c>
      <c r="E1597" s="8">
        <f t="shared" si="17"/>
        <v>0.008630596628</v>
      </c>
      <c r="F1597" s="53">
        <v>4.874640381</v>
      </c>
      <c r="G1597" s="8">
        <f t="shared" si="16"/>
        <v>0.0001335517913</v>
      </c>
      <c r="H1597" s="8">
        <f t="shared" si="11"/>
        <v>5248.49</v>
      </c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</row>
    <row r="1598">
      <c r="A1598" s="54">
        <f t="shared" si="12"/>
        <v>45379</v>
      </c>
      <c r="B1598" s="8">
        <f t="shared" si="13"/>
        <v>944384584.7</v>
      </c>
      <c r="C1598" s="8">
        <f t="shared" si="14"/>
        <v>0.0005178082192</v>
      </c>
      <c r="D1598" s="8">
        <v>5254.35</v>
      </c>
      <c r="E1598" s="8">
        <f t="shared" si="17"/>
        <v>0.001116511606</v>
      </c>
      <c r="F1598" s="53">
        <v>4.917132317</v>
      </c>
      <c r="G1598" s="8">
        <f t="shared" si="16"/>
        <v>0.0001347159539</v>
      </c>
      <c r="H1598" s="8">
        <f t="shared" si="11"/>
        <v>5254.35</v>
      </c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</row>
    <row r="1599">
      <c r="A1599" s="54">
        <f t="shared" si="12"/>
        <v>45380</v>
      </c>
      <c r="B1599" s="8">
        <f t="shared" si="13"/>
        <v>944873594.8</v>
      </c>
      <c r="C1599" s="8">
        <f t="shared" si="14"/>
        <v>0.0005178082192</v>
      </c>
      <c r="D1599" s="8">
        <v>5254.35</v>
      </c>
      <c r="E1599" s="8">
        <f t="shared" si="17"/>
        <v>0</v>
      </c>
      <c r="F1599" s="53">
        <v>4.891194961</v>
      </c>
      <c r="G1599" s="8">
        <f t="shared" si="16"/>
        <v>0.0001340053414</v>
      </c>
      <c r="H1599" s="8">
        <f t="shared" si="11"/>
        <v>5254.35</v>
      </c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</row>
    <row r="1600">
      <c r="A1600" s="54">
        <f t="shared" si="12"/>
        <v>45381</v>
      </c>
      <c r="B1600" s="8">
        <f t="shared" si="13"/>
        <v>945362858.1</v>
      </c>
      <c r="C1600" s="8">
        <f t="shared" si="14"/>
        <v>0.0005178082192</v>
      </c>
      <c r="D1600" s="8">
        <v>5254.35</v>
      </c>
      <c r="E1600" s="8">
        <f t="shared" si="17"/>
        <v>0</v>
      </c>
      <c r="F1600" s="53">
        <v>4.924834847</v>
      </c>
      <c r="G1600" s="8">
        <f t="shared" si="16"/>
        <v>0.0001349269821</v>
      </c>
      <c r="H1600" s="8">
        <f t="shared" si="11"/>
        <v>5254.35</v>
      </c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</row>
    <row r="1601">
      <c r="A1601" s="54">
        <f t="shared" si="12"/>
        <v>45382</v>
      </c>
      <c r="B1601" s="8">
        <f t="shared" si="13"/>
        <v>945852374.8</v>
      </c>
      <c r="C1601" s="8">
        <f t="shared" si="14"/>
        <v>0.0005178082192</v>
      </c>
      <c r="D1601" s="8">
        <v>5254.35</v>
      </c>
      <c r="E1601" s="8">
        <f t="shared" si="17"/>
        <v>0</v>
      </c>
      <c r="F1601" s="53">
        <v>4.801167222</v>
      </c>
      <c r="G1601" s="8">
        <f t="shared" si="16"/>
        <v>0.000131538828</v>
      </c>
      <c r="H1601" s="8">
        <f t="shared" si="11"/>
        <v>5254.35</v>
      </c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</row>
    <row r="1602">
      <c r="A1602" s="54">
        <f t="shared" si="12"/>
        <v>45383</v>
      </c>
      <c r="B1602" s="8">
        <f t="shared" si="13"/>
        <v>946342144.9</v>
      </c>
      <c r="C1602" s="8">
        <f t="shared" si="14"/>
        <v>0.0005178082192</v>
      </c>
      <c r="D1602" s="8">
        <v>5243.77</v>
      </c>
      <c r="E1602" s="8">
        <f t="shared" si="17"/>
        <v>-0.002013569709</v>
      </c>
      <c r="F1602" s="53">
        <v>4.863385226</v>
      </c>
      <c r="G1602" s="8">
        <f t="shared" si="16"/>
        <v>0.0001332434308</v>
      </c>
      <c r="H1602" s="8">
        <f t="shared" si="11"/>
        <v>5243.77</v>
      </c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</row>
    <row r="1603">
      <c r="A1603" s="54">
        <f t="shared" si="12"/>
        <v>45384</v>
      </c>
      <c r="B1603" s="8">
        <f t="shared" si="13"/>
        <v>946832168.7</v>
      </c>
      <c r="C1603" s="8">
        <f t="shared" si="14"/>
        <v>0.0005178082192</v>
      </c>
      <c r="D1603" s="8">
        <v>5205.81</v>
      </c>
      <c r="E1603" s="8">
        <f t="shared" si="17"/>
        <v>-0.007239066549</v>
      </c>
      <c r="F1603" s="53">
        <v>4.957966711</v>
      </c>
      <c r="G1603" s="8">
        <f t="shared" si="16"/>
        <v>0.0001358347044</v>
      </c>
      <c r="H1603" s="8">
        <f t="shared" si="11"/>
        <v>5205.81</v>
      </c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</row>
    <row r="1604">
      <c r="A1604" s="54">
        <f t="shared" si="12"/>
        <v>45385</v>
      </c>
      <c r="B1604" s="8">
        <f t="shared" si="13"/>
        <v>947322446.2</v>
      </c>
      <c r="C1604" s="8">
        <f t="shared" si="14"/>
        <v>0.0005178082192</v>
      </c>
      <c r="D1604" s="8">
        <v>5211.49</v>
      </c>
      <c r="E1604" s="8">
        <f t="shared" si="17"/>
        <v>0.001091088611</v>
      </c>
      <c r="F1604" s="53">
        <v>4.934893953</v>
      </c>
      <c r="G1604" s="8">
        <f t="shared" si="16"/>
        <v>0.0001352025741</v>
      </c>
      <c r="H1604" s="8">
        <f t="shared" si="11"/>
        <v>5211.49</v>
      </c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</row>
    <row r="1605">
      <c r="A1605" s="54">
        <f t="shared" si="12"/>
        <v>45386</v>
      </c>
      <c r="B1605" s="8">
        <f t="shared" si="13"/>
        <v>947812977.5</v>
      </c>
      <c r="C1605" s="8">
        <f t="shared" si="14"/>
        <v>0.0005178082192</v>
      </c>
      <c r="D1605" s="8">
        <v>5147.21</v>
      </c>
      <c r="E1605" s="8">
        <f t="shared" si="17"/>
        <v>-0.01233428444</v>
      </c>
      <c r="F1605" s="53">
        <v>4.898196612</v>
      </c>
      <c r="G1605" s="8">
        <f t="shared" si="16"/>
        <v>0.0001341971675</v>
      </c>
      <c r="H1605" s="8">
        <f t="shared" si="11"/>
        <v>5147.21</v>
      </c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</row>
    <row r="1606">
      <c r="A1606" s="54">
        <f t="shared" si="12"/>
        <v>45387</v>
      </c>
      <c r="B1606" s="8">
        <f t="shared" si="13"/>
        <v>948303762.9</v>
      </c>
      <c r="C1606" s="8">
        <f t="shared" si="14"/>
        <v>0.0005178082192</v>
      </c>
      <c r="D1606" s="8">
        <v>5204.34</v>
      </c>
      <c r="E1606" s="8">
        <f t="shared" si="17"/>
        <v>0.01109921686</v>
      </c>
      <c r="F1606" s="53">
        <v>4.832256783</v>
      </c>
      <c r="G1606" s="8">
        <f t="shared" si="16"/>
        <v>0.0001323905968</v>
      </c>
      <c r="H1606" s="8">
        <f t="shared" si="11"/>
        <v>5204.34</v>
      </c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</row>
    <row r="1607">
      <c r="A1607" s="54">
        <f t="shared" si="12"/>
        <v>45388</v>
      </c>
      <c r="B1607" s="8">
        <f t="shared" si="13"/>
        <v>948794802.3</v>
      </c>
      <c r="C1607" s="8">
        <f t="shared" si="14"/>
        <v>0.0005178082192</v>
      </c>
      <c r="D1607" s="8">
        <v>5204.34</v>
      </c>
      <c r="E1607" s="8">
        <f t="shared" si="17"/>
        <v>0</v>
      </c>
      <c r="F1607" s="53">
        <v>4.872492926</v>
      </c>
      <c r="G1607" s="8">
        <f t="shared" si="16"/>
        <v>0.0001334929569</v>
      </c>
      <c r="H1607" s="8">
        <f t="shared" si="11"/>
        <v>5204.34</v>
      </c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</row>
    <row r="1608">
      <c r="A1608" s="54">
        <f t="shared" si="12"/>
        <v>45389</v>
      </c>
      <c r="B1608" s="8">
        <f t="shared" si="13"/>
        <v>949286096.1</v>
      </c>
      <c r="C1608" s="8">
        <f t="shared" si="14"/>
        <v>0.0005178082192</v>
      </c>
      <c r="D1608" s="8">
        <v>5204.34</v>
      </c>
      <c r="E1608" s="8">
        <f t="shared" si="17"/>
        <v>0</v>
      </c>
      <c r="F1608" s="53">
        <v>4.901845593</v>
      </c>
      <c r="G1608" s="8">
        <f t="shared" si="16"/>
        <v>0.0001342971395</v>
      </c>
      <c r="H1608" s="8">
        <f t="shared" si="11"/>
        <v>5204.34</v>
      </c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</row>
    <row r="1609">
      <c r="A1609" s="54">
        <f t="shared" si="12"/>
        <v>45390</v>
      </c>
      <c r="B1609" s="8">
        <f t="shared" si="13"/>
        <v>949777644.2</v>
      </c>
      <c r="C1609" s="8">
        <f t="shared" si="14"/>
        <v>0.0005178082192</v>
      </c>
      <c r="D1609" s="8">
        <v>5202.39</v>
      </c>
      <c r="E1609" s="8">
        <f t="shared" si="17"/>
        <v>-0.0003746872802</v>
      </c>
      <c r="F1609" s="53">
        <v>4.832358883</v>
      </c>
      <c r="G1609" s="8">
        <f t="shared" si="16"/>
        <v>0.0001323933941</v>
      </c>
      <c r="H1609" s="8">
        <f t="shared" si="11"/>
        <v>5202.39</v>
      </c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</row>
    <row r="1610">
      <c r="A1610" s="54">
        <f t="shared" si="12"/>
        <v>45391</v>
      </c>
      <c r="B1610" s="8">
        <f t="shared" si="13"/>
        <v>950269446.9</v>
      </c>
      <c r="C1610" s="8">
        <f t="shared" si="14"/>
        <v>0.0005178082192</v>
      </c>
      <c r="D1610" s="8">
        <v>5209.91</v>
      </c>
      <c r="E1610" s="8">
        <f t="shared" si="17"/>
        <v>0.001445489477</v>
      </c>
      <c r="F1610" s="53">
        <v>4.926890705</v>
      </c>
      <c r="G1610" s="8">
        <f t="shared" si="16"/>
        <v>0.000134983307</v>
      </c>
      <c r="H1610" s="8">
        <f t="shared" si="11"/>
        <v>5209.91</v>
      </c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</row>
    <row r="1611">
      <c r="A1611" s="54">
        <f t="shared" si="12"/>
        <v>45392</v>
      </c>
      <c r="B1611" s="8">
        <f t="shared" si="13"/>
        <v>950761504.2</v>
      </c>
      <c r="C1611" s="8">
        <f t="shared" si="14"/>
        <v>0.0005178082192</v>
      </c>
      <c r="D1611" s="8">
        <v>5160.64</v>
      </c>
      <c r="E1611" s="8">
        <f t="shared" si="17"/>
        <v>-0.009456977184</v>
      </c>
      <c r="F1611" s="53">
        <v>4.895696125</v>
      </c>
      <c r="G1611" s="8">
        <f t="shared" si="16"/>
        <v>0.000134128661</v>
      </c>
      <c r="H1611" s="8">
        <f t="shared" si="11"/>
        <v>5160.64</v>
      </c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</row>
    <row r="1612">
      <c r="A1612" s="54">
        <f t="shared" si="12"/>
        <v>45393</v>
      </c>
      <c r="B1612" s="8">
        <f t="shared" si="13"/>
        <v>951253816.4</v>
      </c>
      <c r="C1612" s="8">
        <f t="shared" si="14"/>
        <v>0.0005178082192</v>
      </c>
      <c r="D1612" s="8">
        <v>5199.06</v>
      </c>
      <c r="E1612" s="8">
        <f t="shared" si="17"/>
        <v>0.007444813046</v>
      </c>
      <c r="F1612" s="53">
        <v>4.987479869</v>
      </c>
      <c r="G1612" s="8">
        <f t="shared" si="16"/>
        <v>0.0001366432841</v>
      </c>
      <c r="H1612" s="8">
        <f t="shared" si="11"/>
        <v>5199.06</v>
      </c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</row>
    <row r="1613">
      <c r="A1613" s="54">
        <f t="shared" si="12"/>
        <v>45394</v>
      </c>
      <c r="B1613" s="8">
        <f t="shared" si="13"/>
        <v>951746383.4</v>
      </c>
      <c r="C1613" s="8">
        <f t="shared" si="14"/>
        <v>0.0005178082192</v>
      </c>
      <c r="D1613" s="8">
        <v>5123.41</v>
      </c>
      <c r="E1613" s="8">
        <f t="shared" si="17"/>
        <v>-0.01455070724</v>
      </c>
      <c r="F1613" s="53">
        <v>4.894005463</v>
      </c>
      <c r="G1613" s="8">
        <f t="shared" si="16"/>
        <v>0.0001340823415</v>
      </c>
      <c r="H1613" s="8">
        <f t="shared" si="11"/>
        <v>5123.41</v>
      </c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</row>
    <row r="1614">
      <c r="A1614" s="54">
        <f t="shared" si="12"/>
        <v>45395</v>
      </c>
      <c r="B1614" s="8">
        <f t="shared" si="13"/>
        <v>952239205.5</v>
      </c>
      <c r="C1614" s="8">
        <f t="shared" si="14"/>
        <v>0.0005178082192</v>
      </c>
      <c r="D1614" s="8">
        <v>5123.41</v>
      </c>
      <c r="E1614" s="8">
        <f t="shared" si="17"/>
        <v>0</v>
      </c>
      <c r="F1614" s="53">
        <v>4.910545089</v>
      </c>
      <c r="G1614" s="8">
        <f t="shared" si="16"/>
        <v>0.0001345354819</v>
      </c>
      <c r="H1614" s="8">
        <f t="shared" si="11"/>
        <v>5123.41</v>
      </c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</row>
    <row r="1615">
      <c r="A1615" s="54">
        <f t="shared" si="12"/>
        <v>45396</v>
      </c>
      <c r="B1615" s="8">
        <f t="shared" si="13"/>
        <v>952732282.8</v>
      </c>
      <c r="C1615" s="8">
        <f t="shared" si="14"/>
        <v>0.0005178082192</v>
      </c>
      <c r="D1615" s="8">
        <v>5123.41</v>
      </c>
      <c r="E1615" s="8">
        <f t="shared" si="17"/>
        <v>0</v>
      </c>
      <c r="F1615" s="53">
        <v>4.941317922</v>
      </c>
      <c r="G1615" s="8">
        <f t="shared" si="16"/>
        <v>0.0001353785732</v>
      </c>
      <c r="H1615" s="8">
        <f t="shared" si="11"/>
        <v>5123.41</v>
      </c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</row>
    <row r="1616">
      <c r="A1616" s="54">
        <f t="shared" si="12"/>
        <v>45397</v>
      </c>
      <c r="B1616" s="8">
        <f t="shared" si="13"/>
        <v>953225615.4</v>
      </c>
      <c r="C1616" s="8">
        <f t="shared" si="14"/>
        <v>0.0005178082192</v>
      </c>
      <c r="D1616" s="8">
        <v>5061.82</v>
      </c>
      <c r="E1616" s="8">
        <f t="shared" si="17"/>
        <v>-0.01202129051</v>
      </c>
      <c r="F1616" s="53">
        <v>4.866445689</v>
      </c>
      <c r="G1616" s="8">
        <f t="shared" si="16"/>
        <v>0.0001333272792</v>
      </c>
      <c r="H1616" s="8">
        <f t="shared" si="11"/>
        <v>5061.82</v>
      </c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</row>
    <row r="1617">
      <c r="A1617" s="54">
        <f t="shared" si="12"/>
        <v>45398</v>
      </c>
      <c r="B1617" s="8">
        <f t="shared" si="13"/>
        <v>953719203.4</v>
      </c>
      <c r="C1617" s="8">
        <f t="shared" si="14"/>
        <v>0.0005178082192</v>
      </c>
      <c r="D1617" s="8">
        <v>5051.41</v>
      </c>
      <c r="E1617" s="8">
        <f t="shared" si="17"/>
        <v>-0.002056572537</v>
      </c>
      <c r="F1617" s="53">
        <v>4.881284708</v>
      </c>
      <c r="G1617" s="8">
        <f t="shared" si="16"/>
        <v>0.0001337338276</v>
      </c>
      <c r="H1617" s="8">
        <f t="shared" si="11"/>
        <v>5051.41</v>
      </c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</row>
    <row r="1618">
      <c r="A1618" s="54">
        <f t="shared" si="12"/>
        <v>45399</v>
      </c>
      <c r="B1618" s="8">
        <f t="shared" si="13"/>
        <v>954213047.1</v>
      </c>
      <c r="C1618" s="8">
        <f t="shared" si="14"/>
        <v>0.0005178082192</v>
      </c>
      <c r="D1618" s="8">
        <v>5022.21</v>
      </c>
      <c r="E1618" s="8">
        <f t="shared" si="17"/>
        <v>-0.005780564238</v>
      </c>
      <c r="F1618" s="53">
        <v>4.911916563</v>
      </c>
      <c r="G1618" s="8">
        <f t="shared" si="16"/>
        <v>0.0001345730565</v>
      </c>
      <c r="H1618" s="8">
        <f t="shared" si="11"/>
        <v>5022.21</v>
      </c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</row>
    <row r="1619">
      <c r="A1619" s="54">
        <f t="shared" si="12"/>
        <v>45400</v>
      </c>
      <c r="B1619" s="8">
        <f t="shared" si="13"/>
        <v>954707146.4</v>
      </c>
      <c r="C1619" s="8">
        <f t="shared" si="14"/>
        <v>0.0005178082192</v>
      </c>
      <c r="D1619" s="8">
        <v>5011.12</v>
      </c>
      <c r="E1619" s="8">
        <f t="shared" si="17"/>
        <v>-0.002208191215</v>
      </c>
      <c r="F1619" s="53">
        <v>4.816192471</v>
      </c>
      <c r="G1619" s="8">
        <f t="shared" si="16"/>
        <v>0.0001319504787</v>
      </c>
      <c r="H1619" s="8">
        <f t="shared" si="11"/>
        <v>5011.12</v>
      </c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</row>
    <row r="1620">
      <c r="A1620" s="54">
        <f t="shared" si="12"/>
        <v>45401</v>
      </c>
      <c r="B1620" s="8">
        <f t="shared" si="13"/>
        <v>955201501.7</v>
      </c>
      <c r="C1620" s="8">
        <f t="shared" si="14"/>
        <v>0.0005178082192</v>
      </c>
      <c r="D1620" s="8">
        <v>4967.23</v>
      </c>
      <c r="E1620" s="8">
        <f t="shared" si="17"/>
        <v>-0.008758521049</v>
      </c>
      <c r="F1620" s="53">
        <v>4.867792189</v>
      </c>
      <c r="G1620" s="8">
        <f t="shared" si="16"/>
        <v>0.0001333641696</v>
      </c>
      <c r="H1620" s="8">
        <f t="shared" si="11"/>
        <v>4967.23</v>
      </c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</row>
    <row r="1621">
      <c r="A1621" s="54">
        <f t="shared" si="12"/>
        <v>45402</v>
      </c>
      <c r="B1621" s="8">
        <f t="shared" si="13"/>
        <v>955696112.8</v>
      </c>
      <c r="C1621" s="8">
        <f t="shared" si="14"/>
        <v>0.0005178082192</v>
      </c>
      <c r="D1621" s="8">
        <v>4967.23</v>
      </c>
      <c r="E1621" s="8">
        <f t="shared" si="17"/>
        <v>0</v>
      </c>
      <c r="F1621" s="53">
        <v>4.958092341</v>
      </c>
      <c r="G1621" s="8">
        <f t="shared" si="16"/>
        <v>0.0001358381463</v>
      </c>
      <c r="H1621" s="8">
        <f t="shared" si="11"/>
        <v>4967.23</v>
      </c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</row>
    <row r="1622">
      <c r="A1622" s="54">
        <f t="shared" si="12"/>
        <v>45403</v>
      </c>
      <c r="B1622" s="8">
        <f t="shared" si="13"/>
        <v>956190980.1</v>
      </c>
      <c r="C1622" s="8">
        <f t="shared" si="14"/>
        <v>0.0005178082192</v>
      </c>
      <c r="D1622" s="8">
        <v>4967.23</v>
      </c>
      <c r="E1622" s="8">
        <f t="shared" si="17"/>
        <v>0</v>
      </c>
      <c r="F1622" s="53">
        <v>4.978106283</v>
      </c>
      <c r="G1622" s="8">
        <f t="shared" si="16"/>
        <v>0.0001363864735</v>
      </c>
      <c r="H1622" s="8">
        <f t="shared" si="11"/>
        <v>4967.23</v>
      </c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</row>
    <row r="1623">
      <c r="A1623" s="54">
        <f t="shared" si="12"/>
        <v>45404</v>
      </c>
      <c r="B1623" s="8">
        <f t="shared" si="13"/>
        <v>956686103.7</v>
      </c>
      <c r="C1623" s="8">
        <f t="shared" si="14"/>
        <v>0.0005178082192</v>
      </c>
      <c r="D1623" s="8">
        <v>5010.6</v>
      </c>
      <c r="E1623" s="8">
        <f t="shared" si="17"/>
        <v>0.008731224445</v>
      </c>
      <c r="F1623" s="53">
        <v>4.855913669</v>
      </c>
      <c r="G1623" s="8">
        <f t="shared" si="16"/>
        <v>0.0001330387307</v>
      </c>
      <c r="H1623" s="8">
        <f t="shared" si="11"/>
        <v>5010.6</v>
      </c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</row>
    <row r="1624">
      <c r="A1624" s="54">
        <f t="shared" si="12"/>
        <v>45405</v>
      </c>
      <c r="B1624" s="8">
        <f t="shared" si="13"/>
        <v>957181483.6</v>
      </c>
      <c r="C1624" s="8">
        <f t="shared" si="14"/>
        <v>0.0005178082192</v>
      </c>
      <c r="D1624" s="8">
        <v>5070.55</v>
      </c>
      <c r="E1624" s="8">
        <f t="shared" si="17"/>
        <v>0.01196463497</v>
      </c>
      <c r="F1624" s="53">
        <v>4.944189318</v>
      </c>
      <c r="G1624" s="8">
        <f t="shared" si="16"/>
        <v>0.0001354572416</v>
      </c>
      <c r="H1624" s="8">
        <f t="shared" si="11"/>
        <v>5070.55</v>
      </c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</row>
    <row r="1625">
      <c r="A1625" s="54">
        <f t="shared" si="12"/>
        <v>45406</v>
      </c>
      <c r="B1625" s="8">
        <f t="shared" si="13"/>
        <v>957677120.1</v>
      </c>
      <c r="C1625" s="8">
        <f t="shared" si="14"/>
        <v>0.0005178082192</v>
      </c>
      <c r="D1625" s="8">
        <v>5071.63</v>
      </c>
      <c r="E1625" s="8">
        <f t="shared" si="17"/>
        <v>0.0002129946456</v>
      </c>
      <c r="F1625" s="53">
        <v>4.912785674</v>
      </c>
      <c r="G1625" s="8">
        <f t="shared" si="16"/>
        <v>0.0001345968678</v>
      </c>
      <c r="H1625" s="8">
        <f t="shared" si="11"/>
        <v>5071.63</v>
      </c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</row>
    <row r="1626">
      <c r="A1626" s="54">
        <f t="shared" si="12"/>
        <v>45407</v>
      </c>
      <c r="B1626" s="8">
        <f t="shared" si="13"/>
        <v>958173013.1</v>
      </c>
      <c r="C1626" s="8">
        <f t="shared" si="14"/>
        <v>0.0005178082192</v>
      </c>
      <c r="D1626" s="8">
        <v>5048.42</v>
      </c>
      <c r="E1626" s="8">
        <f t="shared" si="17"/>
        <v>-0.00457643795</v>
      </c>
      <c r="F1626" s="53">
        <v>4.843074502</v>
      </c>
      <c r="G1626" s="8">
        <f t="shared" si="16"/>
        <v>0.0001326869727</v>
      </c>
      <c r="H1626" s="8">
        <f t="shared" si="11"/>
        <v>5048.42</v>
      </c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</row>
    <row r="1627">
      <c r="A1627" s="54">
        <f t="shared" si="12"/>
        <v>45408</v>
      </c>
      <c r="B1627" s="8">
        <f t="shared" si="13"/>
        <v>958669163</v>
      </c>
      <c r="C1627" s="8">
        <f t="shared" si="14"/>
        <v>0.0005178082192</v>
      </c>
      <c r="D1627" s="8">
        <v>5099.96</v>
      </c>
      <c r="E1627" s="8">
        <f t="shared" si="17"/>
        <v>0.01020913474</v>
      </c>
      <c r="F1627" s="53">
        <v>4.834701132</v>
      </c>
      <c r="G1627" s="8">
        <f t="shared" si="16"/>
        <v>0.0001324575653</v>
      </c>
      <c r="H1627" s="8">
        <f t="shared" si="11"/>
        <v>5099.96</v>
      </c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</row>
    <row r="1628">
      <c r="A1628" s="54">
        <f t="shared" si="12"/>
        <v>45409</v>
      </c>
      <c r="B1628" s="8">
        <f t="shared" si="13"/>
        <v>959165569.8</v>
      </c>
      <c r="C1628" s="8">
        <f t="shared" si="14"/>
        <v>0.0005178082192</v>
      </c>
      <c r="D1628" s="8">
        <v>5099.96</v>
      </c>
      <c r="E1628" s="8">
        <f t="shared" si="17"/>
        <v>0</v>
      </c>
      <c r="F1628" s="53">
        <v>4.862355903</v>
      </c>
      <c r="G1628" s="8">
        <f t="shared" si="16"/>
        <v>0.0001332152302</v>
      </c>
      <c r="H1628" s="8">
        <f t="shared" si="11"/>
        <v>5099.96</v>
      </c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</row>
    <row r="1629">
      <c r="A1629" s="54">
        <f t="shared" si="12"/>
        <v>45410</v>
      </c>
      <c r="B1629" s="8">
        <f t="shared" si="13"/>
        <v>959662233.6</v>
      </c>
      <c r="C1629" s="8">
        <f t="shared" si="14"/>
        <v>0.0005178082192</v>
      </c>
      <c r="D1629" s="8">
        <v>5099.96</v>
      </c>
      <c r="E1629" s="8">
        <f t="shared" si="17"/>
        <v>0</v>
      </c>
      <c r="F1629" s="53">
        <v>4.932250657</v>
      </c>
      <c r="G1629" s="8">
        <f t="shared" si="16"/>
        <v>0.000135130155</v>
      </c>
      <c r="H1629" s="8">
        <f t="shared" si="11"/>
        <v>5099.96</v>
      </c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</row>
    <row r="1630">
      <c r="A1630" s="54">
        <f t="shared" si="12"/>
        <v>45411</v>
      </c>
      <c r="B1630" s="8">
        <f t="shared" si="13"/>
        <v>960159154.6</v>
      </c>
      <c r="C1630" s="8">
        <f t="shared" si="14"/>
        <v>0.0005178082192</v>
      </c>
      <c r="D1630" s="8">
        <v>5116.17</v>
      </c>
      <c r="E1630" s="8">
        <f t="shared" si="17"/>
        <v>0.003178456302</v>
      </c>
      <c r="F1630" s="53">
        <v>4.927064181</v>
      </c>
      <c r="G1630" s="8">
        <f t="shared" si="16"/>
        <v>0.0001349880598</v>
      </c>
      <c r="H1630" s="8">
        <f t="shared" si="11"/>
        <v>5116.17</v>
      </c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</row>
    <row r="1631">
      <c r="A1631" s="54">
        <f t="shared" si="12"/>
        <v>45412</v>
      </c>
      <c r="B1631" s="8">
        <f t="shared" si="13"/>
        <v>960656332.9</v>
      </c>
      <c r="C1631" s="8">
        <f t="shared" si="14"/>
        <v>0.0005178082192</v>
      </c>
      <c r="D1631" s="8">
        <v>5035.69</v>
      </c>
      <c r="E1631" s="8">
        <f t="shared" si="17"/>
        <v>-0.01573051716</v>
      </c>
      <c r="F1631" s="53">
        <v>4.946610179</v>
      </c>
      <c r="G1631" s="8">
        <f t="shared" si="16"/>
        <v>0.0001355235665</v>
      </c>
      <c r="H1631" s="8">
        <f t="shared" si="11"/>
        <v>5035.69</v>
      </c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</row>
    <row r="1632">
      <c r="A1632" s="54">
        <f t="shared" si="12"/>
        <v>45413</v>
      </c>
      <c r="B1632" s="8">
        <f t="shared" si="13"/>
        <v>961153768.6</v>
      </c>
      <c r="C1632" s="8">
        <f t="shared" si="14"/>
        <v>0.0005178082192</v>
      </c>
      <c r="D1632" s="8">
        <v>5018.39</v>
      </c>
      <c r="E1632" s="8">
        <f t="shared" si="17"/>
        <v>-0.003435477561</v>
      </c>
      <c r="F1632" s="53">
        <v>4.897169719</v>
      </c>
      <c r="G1632" s="8">
        <f t="shared" si="16"/>
        <v>0.0001341690334</v>
      </c>
      <c r="H1632" s="8">
        <f t="shared" si="11"/>
        <v>5018.39</v>
      </c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</row>
    <row r="1633">
      <c r="A1633" s="54">
        <f t="shared" si="12"/>
        <v>45414</v>
      </c>
      <c r="B1633" s="8">
        <f t="shared" si="13"/>
        <v>961651462</v>
      </c>
      <c r="C1633" s="8">
        <f t="shared" si="14"/>
        <v>0.0005178082192</v>
      </c>
      <c r="D1633" s="8">
        <v>5064.2</v>
      </c>
      <c r="E1633" s="8">
        <f t="shared" si="17"/>
        <v>0.00912842565</v>
      </c>
      <c r="F1633" s="53">
        <v>4.920622483</v>
      </c>
      <c r="G1633" s="8">
        <f t="shared" si="16"/>
        <v>0.0001348115749</v>
      </c>
      <c r="H1633" s="8">
        <f t="shared" si="11"/>
        <v>5064.2</v>
      </c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</row>
    <row r="1634">
      <c r="A1634" s="54">
        <f t="shared" si="12"/>
        <v>45415</v>
      </c>
      <c r="B1634" s="8">
        <f t="shared" si="13"/>
        <v>962149413</v>
      </c>
      <c r="C1634" s="8">
        <f t="shared" si="14"/>
        <v>0.0005178082192</v>
      </c>
      <c r="D1634" s="8">
        <v>5127.79</v>
      </c>
      <c r="E1634" s="8">
        <f t="shared" si="17"/>
        <v>0.01255677106</v>
      </c>
      <c r="F1634" s="53">
        <v>4.88642526</v>
      </c>
      <c r="G1634" s="8">
        <f t="shared" si="16"/>
        <v>0.0001338746647</v>
      </c>
      <c r="H1634" s="8">
        <f t="shared" si="11"/>
        <v>5127.79</v>
      </c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</row>
    <row r="1635">
      <c r="A1635" s="54">
        <f t="shared" si="12"/>
        <v>45416</v>
      </c>
      <c r="B1635" s="8">
        <f t="shared" si="13"/>
        <v>962647621.9</v>
      </c>
      <c r="C1635" s="8">
        <f t="shared" si="14"/>
        <v>0.0005178082192</v>
      </c>
      <c r="D1635" s="8">
        <v>5127.79</v>
      </c>
      <c r="E1635" s="8">
        <f t="shared" si="17"/>
        <v>0</v>
      </c>
      <c r="F1635" s="53">
        <v>4.872657363</v>
      </c>
      <c r="G1635" s="8">
        <f t="shared" si="16"/>
        <v>0.000133497462</v>
      </c>
      <c r="H1635" s="8">
        <f t="shared" si="11"/>
        <v>5127.79</v>
      </c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</row>
    <row r="1636">
      <c r="A1636" s="54">
        <f t="shared" si="12"/>
        <v>45417</v>
      </c>
      <c r="B1636" s="8">
        <f t="shared" si="13"/>
        <v>963146088.7</v>
      </c>
      <c r="C1636" s="8">
        <f t="shared" si="14"/>
        <v>0.0005178082192</v>
      </c>
      <c r="D1636" s="8">
        <v>5127.79</v>
      </c>
      <c r="E1636" s="8">
        <f t="shared" si="17"/>
        <v>0</v>
      </c>
      <c r="F1636" s="53">
        <v>4.818396776</v>
      </c>
      <c r="G1636" s="8">
        <f t="shared" si="16"/>
        <v>0.0001320108706</v>
      </c>
      <c r="H1636" s="8">
        <f t="shared" si="11"/>
        <v>5127.79</v>
      </c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</row>
    <row r="1637">
      <c r="A1637" s="54">
        <f t="shared" si="12"/>
        <v>45418</v>
      </c>
      <c r="B1637" s="8">
        <f t="shared" si="13"/>
        <v>963644813.7</v>
      </c>
      <c r="C1637" s="8">
        <f t="shared" si="14"/>
        <v>0.0005178082192</v>
      </c>
      <c r="D1637" s="8">
        <v>5180.74</v>
      </c>
      <c r="E1637" s="8">
        <f t="shared" si="17"/>
        <v>0.0103260859</v>
      </c>
      <c r="F1637" s="53">
        <v>4.989295648</v>
      </c>
      <c r="G1637" s="8">
        <f t="shared" si="16"/>
        <v>0.0001366930315</v>
      </c>
      <c r="H1637" s="8">
        <f t="shared" si="11"/>
        <v>5180.74</v>
      </c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</row>
    <row r="1638">
      <c r="A1638" s="54">
        <f t="shared" si="12"/>
        <v>45419</v>
      </c>
      <c r="B1638" s="8">
        <f t="shared" si="13"/>
        <v>964143796.9</v>
      </c>
      <c r="C1638" s="8">
        <f t="shared" si="14"/>
        <v>0.0005178082192</v>
      </c>
      <c r="D1638" s="8">
        <v>5187.7</v>
      </c>
      <c r="E1638" s="8">
        <f t="shared" si="17"/>
        <v>0.001343437424</v>
      </c>
      <c r="F1638" s="53">
        <v>4.835674346</v>
      </c>
      <c r="G1638" s="8">
        <f t="shared" si="16"/>
        <v>0.0001324842287</v>
      </c>
      <c r="H1638" s="8">
        <f t="shared" si="11"/>
        <v>5187.7</v>
      </c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</row>
    <row r="1639">
      <c r="A1639" s="54">
        <f t="shared" si="12"/>
        <v>45420</v>
      </c>
      <c r="B1639" s="8">
        <f t="shared" si="13"/>
        <v>964643038.5</v>
      </c>
      <c r="C1639" s="8">
        <f t="shared" si="14"/>
        <v>0.0005178082192</v>
      </c>
      <c r="D1639" s="8">
        <v>5187.67</v>
      </c>
      <c r="E1639" s="8">
        <f t="shared" si="17"/>
        <v>-0.000005782909575</v>
      </c>
      <c r="F1639" s="53">
        <v>4.937671744</v>
      </c>
      <c r="G1639" s="8">
        <f t="shared" si="16"/>
        <v>0.0001352786779</v>
      </c>
      <c r="H1639" s="8">
        <f t="shared" si="11"/>
        <v>5187.67</v>
      </c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</row>
    <row r="1640">
      <c r="A1640" s="54">
        <f t="shared" si="12"/>
        <v>45421</v>
      </c>
      <c r="B1640" s="8">
        <f t="shared" si="13"/>
        <v>965142538.6</v>
      </c>
      <c r="C1640" s="8">
        <f t="shared" si="14"/>
        <v>0.0005178082192</v>
      </c>
      <c r="D1640" s="8">
        <v>5214.08</v>
      </c>
      <c r="E1640" s="8">
        <f t="shared" si="17"/>
        <v>0.005090917502</v>
      </c>
      <c r="F1640" s="53">
        <v>4.874903224</v>
      </c>
      <c r="G1640" s="8">
        <f t="shared" si="16"/>
        <v>0.0001335589924</v>
      </c>
      <c r="H1640" s="8">
        <f t="shared" si="11"/>
        <v>5214.08</v>
      </c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</row>
    <row r="1641">
      <c r="A1641" s="54">
        <f t="shared" si="12"/>
        <v>45422</v>
      </c>
      <c r="B1641" s="8">
        <f t="shared" si="13"/>
        <v>965642297.3</v>
      </c>
      <c r="C1641" s="8">
        <f t="shared" si="14"/>
        <v>0.0005178082192</v>
      </c>
      <c r="D1641" s="8">
        <v>5222.68</v>
      </c>
      <c r="E1641" s="8">
        <f t="shared" si="17"/>
        <v>0.00164938014</v>
      </c>
      <c r="F1641" s="53">
        <v>4.815668917</v>
      </c>
      <c r="G1641" s="8">
        <f t="shared" si="16"/>
        <v>0.0001319361347</v>
      </c>
      <c r="H1641" s="8">
        <f t="shared" si="11"/>
        <v>5222.68</v>
      </c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</row>
    <row r="1642">
      <c r="A1642" s="54">
        <f t="shared" si="12"/>
        <v>45423</v>
      </c>
      <c r="B1642" s="8">
        <f t="shared" si="13"/>
        <v>966142314.8</v>
      </c>
      <c r="C1642" s="8">
        <f t="shared" si="14"/>
        <v>0.0005178082192</v>
      </c>
      <c r="D1642" s="8">
        <v>5222.68</v>
      </c>
      <c r="E1642" s="8">
        <f t="shared" si="17"/>
        <v>0</v>
      </c>
      <c r="F1642" s="53">
        <v>5.000835929</v>
      </c>
      <c r="G1642" s="8">
        <f t="shared" si="16"/>
        <v>0.0001370092035</v>
      </c>
      <c r="H1642" s="8">
        <f t="shared" si="11"/>
        <v>5222.68</v>
      </c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</row>
    <row r="1643">
      <c r="A1643" s="54">
        <f t="shared" si="12"/>
        <v>45424</v>
      </c>
      <c r="B1643" s="8">
        <f t="shared" si="13"/>
        <v>966642591.2</v>
      </c>
      <c r="C1643" s="8">
        <f t="shared" si="14"/>
        <v>0.0005178082192</v>
      </c>
      <c r="D1643" s="8">
        <v>5222.68</v>
      </c>
      <c r="E1643" s="8">
        <f t="shared" si="17"/>
        <v>0</v>
      </c>
      <c r="F1643" s="53">
        <v>4.935580251</v>
      </c>
      <c r="G1643" s="8">
        <f t="shared" si="16"/>
        <v>0.0001352213767</v>
      </c>
      <c r="H1643" s="8">
        <f t="shared" si="11"/>
        <v>5222.68</v>
      </c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</row>
    <row r="1644">
      <c r="A1644" s="54">
        <f t="shared" si="12"/>
        <v>45425</v>
      </c>
      <c r="B1644" s="8">
        <f t="shared" si="13"/>
        <v>967143126.7</v>
      </c>
      <c r="C1644" s="8">
        <f t="shared" si="14"/>
        <v>0.0005178082192</v>
      </c>
      <c r="D1644" s="8">
        <v>5221.42</v>
      </c>
      <c r="E1644" s="8">
        <f t="shared" si="17"/>
        <v>-0.0002412554474</v>
      </c>
      <c r="F1644" s="53">
        <v>4.875172973</v>
      </c>
      <c r="G1644" s="8">
        <f t="shared" si="16"/>
        <v>0.0001335663828</v>
      </c>
      <c r="H1644" s="8">
        <f t="shared" si="11"/>
        <v>5221.42</v>
      </c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</row>
    <row r="1645">
      <c r="A1645" s="54">
        <f t="shared" si="12"/>
        <v>45426</v>
      </c>
      <c r="B1645" s="8">
        <f t="shared" si="13"/>
        <v>967643921.4</v>
      </c>
      <c r="C1645" s="8">
        <f t="shared" si="14"/>
        <v>0.0005178082192</v>
      </c>
      <c r="D1645" s="8">
        <v>5246.88</v>
      </c>
      <c r="E1645" s="8">
        <f t="shared" si="17"/>
        <v>0.004876068196</v>
      </c>
      <c r="F1645" s="53">
        <v>4.862791216</v>
      </c>
      <c r="G1645" s="8">
        <f t="shared" si="16"/>
        <v>0.0001332271566</v>
      </c>
      <c r="H1645" s="8">
        <f t="shared" si="11"/>
        <v>5246.88</v>
      </c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</row>
    <row r="1646">
      <c r="A1646" s="54">
        <f t="shared" si="12"/>
        <v>45427</v>
      </c>
      <c r="B1646" s="8">
        <f t="shared" si="13"/>
        <v>968144975.4</v>
      </c>
      <c r="C1646" s="8">
        <f t="shared" si="14"/>
        <v>0.0005178082192</v>
      </c>
      <c r="D1646" s="8">
        <v>5308.15</v>
      </c>
      <c r="E1646" s="8">
        <f t="shared" si="17"/>
        <v>0.01167741591</v>
      </c>
      <c r="F1646" s="53">
        <v>4.985829983</v>
      </c>
      <c r="G1646" s="8">
        <f t="shared" si="16"/>
        <v>0.0001365980817</v>
      </c>
      <c r="H1646" s="8">
        <f t="shared" si="11"/>
        <v>5308.15</v>
      </c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</row>
    <row r="1647">
      <c r="A1647" s="54">
        <f t="shared" si="12"/>
        <v>45428</v>
      </c>
      <c r="B1647" s="8">
        <f t="shared" si="13"/>
        <v>968646288.8</v>
      </c>
      <c r="C1647" s="8">
        <f t="shared" si="14"/>
        <v>0.0005178082192</v>
      </c>
      <c r="D1647" s="8">
        <v>5297.1</v>
      </c>
      <c r="E1647" s="8">
        <f t="shared" si="17"/>
        <v>-0.002081704549</v>
      </c>
      <c r="F1647" s="53">
        <v>4.929623486</v>
      </c>
      <c r="G1647" s="8">
        <f t="shared" si="16"/>
        <v>0.0001350581777</v>
      </c>
      <c r="H1647" s="8">
        <f t="shared" si="11"/>
        <v>5297.1</v>
      </c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</row>
    <row r="1648">
      <c r="A1648" s="54">
        <f t="shared" si="12"/>
        <v>45429</v>
      </c>
      <c r="B1648" s="8">
        <f t="shared" si="13"/>
        <v>969147861.8</v>
      </c>
      <c r="C1648" s="8">
        <f t="shared" si="14"/>
        <v>0.0005178082192</v>
      </c>
      <c r="D1648" s="8">
        <v>5303.27</v>
      </c>
      <c r="E1648" s="8">
        <f t="shared" si="17"/>
        <v>0.00116478828</v>
      </c>
      <c r="F1648" s="53">
        <v>4.916280956</v>
      </c>
      <c r="G1648" s="8">
        <f t="shared" si="16"/>
        <v>0.0001346926289</v>
      </c>
      <c r="H1648" s="8">
        <f t="shared" si="11"/>
        <v>5303.27</v>
      </c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</row>
    <row r="1649">
      <c r="A1649" s="54">
        <f t="shared" si="12"/>
        <v>45430</v>
      </c>
      <c r="B1649" s="8">
        <f t="shared" si="13"/>
        <v>969649694.5</v>
      </c>
      <c r="C1649" s="8">
        <f t="shared" si="14"/>
        <v>0.0005178082192</v>
      </c>
      <c r="D1649" s="8">
        <v>5303.27</v>
      </c>
      <c r="E1649" s="8">
        <f t="shared" si="17"/>
        <v>0</v>
      </c>
      <c r="F1649" s="53">
        <v>4.831577332</v>
      </c>
      <c r="G1649" s="8">
        <f t="shared" si="16"/>
        <v>0.0001323719817</v>
      </c>
      <c r="H1649" s="8">
        <f t="shared" si="11"/>
        <v>5303.27</v>
      </c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</row>
    <row r="1650">
      <c r="A1650" s="54">
        <f t="shared" si="12"/>
        <v>45431</v>
      </c>
      <c r="B1650" s="8">
        <f t="shared" si="13"/>
        <v>970151787.1</v>
      </c>
      <c r="C1650" s="8">
        <f t="shared" si="14"/>
        <v>0.0005178082192</v>
      </c>
      <c r="D1650" s="8">
        <v>5303.27</v>
      </c>
      <c r="E1650" s="8">
        <f t="shared" si="17"/>
        <v>0</v>
      </c>
      <c r="F1650" s="53">
        <v>4.856422998</v>
      </c>
      <c r="G1650" s="8">
        <f t="shared" si="16"/>
        <v>0.0001330526849</v>
      </c>
      <c r="H1650" s="8">
        <f t="shared" si="11"/>
        <v>5303.27</v>
      </c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</row>
    <row r="1651">
      <c r="A1651" s="54">
        <f t="shared" si="12"/>
        <v>45432</v>
      </c>
      <c r="B1651" s="8">
        <f t="shared" si="13"/>
        <v>970654139.7</v>
      </c>
      <c r="C1651" s="8">
        <f t="shared" si="14"/>
        <v>0.0005178082192</v>
      </c>
      <c r="D1651" s="8">
        <v>5308.13</v>
      </c>
      <c r="E1651" s="8">
        <f t="shared" si="17"/>
        <v>0.0009164157209</v>
      </c>
      <c r="F1651" s="53">
        <v>4.933201669</v>
      </c>
      <c r="G1651" s="8">
        <f t="shared" si="16"/>
        <v>0.0001351562101</v>
      </c>
      <c r="H1651" s="8">
        <f t="shared" si="11"/>
        <v>5308.13</v>
      </c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</row>
    <row r="1652">
      <c r="A1652" s="54">
        <f t="shared" si="12"/>
        <v>45433</v>
      </c>
      <c r="B1652" s="8">
        <f t="shared" si="13"/>
        <v>971156752.4</v>
      </c>
      <c r="C1652" s="8">
        <f t="shared" si="14"/>
        <v>0.0005178082192</v>
      </c>
      <c r="D1652" s="8">
        <v>5321.41</v>
      </c>
      <c r="E1652" s="8">
        <f t="shared" si="17"/>
        <v>0.002501822676</v>
      </c>
      <c r="F1652" s="53">
        <v>4.953612674</v>
      </c>
      <c r="G1652" s="8">
        <f t="shared" si="16"/>
        <v>0.0001357154157</v>
      </c>
      <c r="H1652" s="8">
        <f t="shared" si="11"/>
        <v>5321.41</v>
      </c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</row>
    <row r="1653">
      <c r="A1653" s="54">
        <f t="shared" si="12"/>
        <v>45434</v>
      </c>
      <c r="B1653" s="8">
        <f t="shared" si="13"/>
        <v>971659625.3</v>
      </c>
      <c r="C1653" s="8">
        <f t="shared" si="14"/>
        <v>0.0005178082192</v>
      </c>
      <c r="D1653" s="8">
        <v>5307.01</v>
      </c>
      <c r="E1653" s="8">
        <f t="shared" si="17"/>
        <v>-0.002706049712</v>
      </c>
      <c r="F1653" s="53">
        <v>4.970341223</v>
      </c>
      <c r="G1653" s="8">
        <f t="shared" si="16"/>
        <v>0.0001361737321</v>
      </c>
      <c r="H1653" s="8">
        <f t="shared" si="11"/>
        <v>5307.01</v>
      </c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</row>
    <row r="1654">
      <c r="A1654" s="54">
        <f t="shared" si="12"/>
        <v>45435</v>
      </c>
      <c r="B1654" s="8">
        <f t="shared" si="13"/>
        <v>972162758.7</v>
      </c>
      <c r="C1654" s="8">
        <f t="shared" si="14"/>
        <v>0.0005178082192</v>
      </c>
      <c r="D1654" s="8">
        <v>5267.84</v>
      </c>
      <c r="E1654" s="8">
        <f t="shared" si="17"/>
        <v>-0.00738080388</v>
      </c>
      <c r="F1654" s="53">
        <v>4.860747534</v>
      </c>
      <c r="G1654" s="8">
        <f t="shared" si="16"/>
        <v>0.0001331711653</v>
      </c>
      <c r="H1654" s="8">
        <f t="shared" si="11"/>
        <v>5267.84</v>
      </c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</row>
    <row r="1655">
      <c r="A1655" s="54">
        <f t="shared" si="12"/>
        <v>45436</v>
      </c>
      <c r="B1655" s="8">
        <f t="shared" si="13"/>
        <v>972666152.5</v>
      </c>
      <c r="C1655" s="8">
        <f t="shared" si="14"/>
        <v>0.0005178082192</v>
      </c>
      <c r="D1655" s="8">
        <v>5304.72</v>
      </c>
      <c r="E1655" s="8">
        <f t="shared" si="17"/>
        <v>0.007000971935</v>
      </c>
      <c r="F1655" s="53">
        <v>4.871739142</v>
      </c>
      <c r="G1655" s="8">
        <f t="shared" si="16"/>
        <v>0.0001334723053</v>
      </c>
      <c r="H1655" s="8">
        <f t="shared" si="11"/>
        <v>5304.72</v>
      </c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</row>
    <row r="1656">
      <c r="A1656" s="54">
        <f t="shared" si="12"/>
        <v>45437</v>
      </c>
      <c r="B1656" s="8">
        <f t="shared" si="13"/>
        <v>973169807</v>
      </c>
      <c r="C1656" s="8">
        <f t="shared" si="14"/>
        <v>0.0005178082192</v>
      </c>
      <c r="D1656" s="8">
        <v>5304.72</v>
      </c>
      <c r="E1656" s="8">
        <f t="shared" si="17"/>
        <v>0</v>
      </c>
      <c r="F1656" s="53">
        <v>4.891365982</v>
      </c>
      <c r="G1656" s="8">
        <f t="shared" si="16"/>
        <v>0.0001340100269</v>
      </c>
      <c r="H1656" s="8">
        <f t="shared" si="11"/>
        <v>5304.72</v>
      </c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</row>
    <row r="1657">
      <c r="A1657" s="54">
        <f t="shared" si="12"/>
        <v>45438</v>
      </c>
      <c r="B1657" s="8">
        <f t="shared" si="13"/>
        <v>973673722.4</v>
      </c>
      <c r="C1657" s="8">
        <f t="shared" si="14"/>
        <v>0.0005178082192</v>
      </c>
      <c r="D1657" s="8">
        <v>5304.72</v>
      </c>
      <c r="E1657" s="8">
        <f t="shared" si="17"/>
        <v>0</v>
      </c>
      <c r="F1657" s="53">
        <v>4.782084137</v>
      </c>
      <c r="G1657" s="8">
        <f t="shared" si="16"/>
        <v>0.0001310160038</v>
      </c>
      <c r="H1657" s="8">
        <f t="shared" si="11"/>
        <v>5304.72</v>
      </c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</row>
    <row r="1658">
      <c r="A1658" s="54">
        <f t="shared" si="12"/>
        <v>45439</v>
      </c>
      <c r="B1658" s="8">
        <f t="shared" si="13"/>
        <v>974177898.6</v>
      </c>
      <c r="C1658" s="8">
        <f t="shared" si="14"/>
        <v>0.0005178082192</v>
      </c>
      <c r="D1658" s="8">
        <v>5304.72</v>
      </c>
      <c r="E1658" s="8">
        <f t="shared" si="17"/>
        <v>0</v>
      </c>
      <c r="F1658" s="53">
        <v>4.818980208</v>
      </c>
      <c r="G1658" s="8">
        <f t="shared" si="16"/>
        <v>0.000132026855</v>
      </c>
      <c r="H1658" s="8">
        <f t="shared" si="11"/>
        <v>5304.72</v>
      </c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</row>
    <row r="1659">
      <c r="A1659" s="54">
        <f t="shared" si="12"/>
        <v>45440</v>
      </c>
      <c r="B1659" s="8">
        <f t="shared" si="13"/>
        <v>974682336</v>
      </c>
      <c r="C1659" s="8">
        <f t="shared" si="14"/>
        <v>0.0005178082192</v>
      </c>
      <c r="D1659" s="8">
        <v>5306.04</v>
      </c>
      <c r="E1659" s="8">
        <f t="shared" si="17"/>
        <v>0.0002488349998</v>
      </c>
      <c r="F1659" s="53">
        <v>4.846239703</v>
      </c>
      <c r="G1659" s="8">
        <f t="shared" si="16"/>
        <v>0.0001327736905</v>
      </c>
      <c r="H1659" s="8">
        <f t="shared" si="11"/>
        <v>5306.04</v>
      </c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</row>
    <row r="1660">
      <c r="A1660" s="54">
        <f t="shared" si="12"/>
        <v>45441</v>
      </c>
      <c r="B1660" s="8">
        <f t="shared" si="13"/>
        <v>975187034.5</v>
      </c>
      <c r="C1660" s="8">
        <f t="shared" si="14"/>
        <v>0.0005178082192</v>
      </c>
      <c r="D1660" s="8">
        <v>5266.95</v>
      </c>
      <c r="E1660" s="8">
        <f t="shared" si="17"/>
        <v>-0.007367076011</v>
      </c>
      <c r="F1660" s="53">
        <v>4.869810975</v>
      </c>
      <c r="G1660" s="8">
        <f t="shared" si="16"/>
        <v>0.0001334194788</v>
      </c>
      <c r="H1660" s="8">
        <f t="shared" si="11"/>
        <v>5266.95</v>
      </c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</row>
    <row r="1661">
      <c r="A1661" s="54">
        <f t="shared" si="12"/>
        <v>45442</v>
      </c>
      <c r="B1661" s="8">
        <f t="shared" si="13"/>
        <v>975691994.3</v>
      </c>
      <c r="C1661" s="8">
        <f t="shared" si="14"/>
        <v>0.0005178082192</v>
      </c>
      <c r="D1661" s="8">
        <v>5235.48</v>
      </c>
      <c r="E1661" s="8">
        <f t="shared" si="17"/>
        <v>-0.005974995016</v>
      </c>
      <c r="F1661" s="53">
        <v>4.949936209</v>
      </c>
      <c r="G1661" s="8">
        <f t="shared" si="16"/>
        <v>0.0001356146907</v>
      </c>
      <c r="H1661" s="8">
        <f t="shared" si="11"/>
        <v>5235.48</v>
      </c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</row>
    <row r="1662">
      <c r="A1662" s="54">
        <f t="shared" si="12"/>
        <v>45443</v>
      </c>
      <c r="B1662" s="8">
        <f t="shared" si="13"/>
        <v>976197215.7</v>
      </c>
      <c r="C1662" s="8">
        <f t="shared" si="14"/>
        <v>0.0005178082192</v>
      </c>
      <c r="D1662" s="8">
        <v>5277.51</v>
      </c>
      <c r="E1662" s="8">
        <f t="shared" si="17"/>
        <v>0.008027917211</v>
      </c>
      <c r="F1662" s="53">
        <v>4.879499775</v>
      </c>
      <c r="G1662" s="8">
        <f t="shared" si="16"/>
        <v>0.0001336849253</v>
      </c>
      <c r="H1662" s="8">
        <f t="shared" si="11"/>
        <v>5277.51</v>
      </c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</row>
    <row r="1663">
      <c r="A1663" s="54">
        <f t="shared" si="12"/>
        <v>45444</v>
      </c>
      <c r="B1663" s="8">
        <f t="shared" si="13"/>
        <v>976702698.6</v>
      </c>
      <c r="C1663" s="8">
        <f t="shared" si="14"/>
        <v>0.0005178082192</v>
      </c>
      <c r="D1663" s="8">
        <v>5277.51</v>
      </c>
      <c r="E1663" s="8">
        <f t="shared" si="17"/>
        <v>0</v>
      </c>
      <c r="F1663" s="53">
        <v>4.826490015</v>
      </c>
      <c r="G1663" s="8">
        <f t="shared" si="16"/>
        <v>0.0001322326032</v>
      </c>
      <c r="H1663" s="8">
        <f t="shared" si="11"/>
        <v>5277.51</v>
      </c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</row>
    <row r="1664">
      <c r="A1664" s="54">
        <f t="shared" si="12"/>
        <v>45445</v>
      </c>
      <c r="B1664" s="8">
        <f t="shared" si="13"/>
        <v>977208443.3</v>
      </c>
      <c r="C1664" s="8">
        <f t="shared" si="14"/>
        <v>0.0005178082192</v>
      </c>
      <c r="D1664" s="8">
        <v>5277.51</v>
      </c>
      <c r="E1664" s="8">
        <f t="shared" si="17"/>
        <v>0</v>
      </c>
      <c r="F1664" s="53">
        <v>4.859162119</v>
      </c>
      <c r="G1664" s="8">
        <f t="shared" si="16"/>
        <v>0.0001331277293</v>
      </c>
      <c r="H1664" s="8">
        <f t="shared" si="11"/>
        <v>5277.51</v>
      </c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</row>
    <row r="1665">
      <c r="A1665" s="54">
        <f t="shared" si="12"/>
        <v>45446</v>
      </c>
      <c r="B1665" s="8">
        <f t="shared" si="13"/>
        <v>977714449.9</v>
      </c>
      <c r="C1665" s="8">
        <f t="shared" si="14"/>
        <v>0.0005178082192</v>
      </c>
      <c r="D1665" s="8">
        <v>5283.4</v>
      </c>
      <c r="E1665" s="8">
        <f t="shared" si="17"/>
        <v>0.001116056625</v>
      </c>
      <c r="F1665" s="53">
        <v>4.869547779</v>
      </c>
      <c r="G1665" s="8">
        <f t="shared" si="16"/>
        <v>0.0001334122679</v>
      </c>
      <c r="H1665" s="8">
        <f t="shared" si="11"/>
        <v>5283.4</v>
      </c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</row>
    <row r="1666">
      <c r="A1666" s="54">
        <f t="shared" si="12"/>
        <v>45447</v>
      </c>
      <c r="B1666" s="8">
        <f t="shared" si="13"/>
        <v>978220718.4</v>
      </c>
      <c r="C1666" s="8">
        <f t="shared" si="14"/>
        <v>0.0005178082192</v>
      </c>
      <c r="D1666" s="8">
        <v>5291.34</v>
      </c>
      <c r="E1666" s="8">
        <f t="shared" si="17"/>
        <v>0.001502820154</v>
      </c>
      <c r="F1666" s="53">
        <v>4.890591417</v>
      </c>
      <c r="G1666" s="8">
        <f t="shared" si="16"/>
        <v>0.0001339888059</v>
      </c>
      <c r="H1666" s="8">
        <f t="shared" si="11"/>
        <v>5291.34</v>
      </c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</row>
    <row r="1667">
      <c r="A1667" s="54">
        <f t="shared" si="12"/>
        <v>45448</v>
      </c>
      <c r="B1667" s="8">
        <f t="shared" si="13"/>
        <v>978727249.2</v>
      </c>
      <c r="C1667" s="8">
        <f t="shared" si="14"/>
        <v>0.0005178082192</v>
      </c>
      <c r="D1667" s="8">
        <v>5354.03</v>
      </c>
      <c r="E1667" s="8">
        <f t="shared" si="17"/>
        <v>0.01184766052</v>
      </c>
      <c r="F1667" s="53">
        <v>4.843211093</v>
      </c>
      <c r="G1667" s="8">
        <f t="shared" si="16"/>
        <v>0.0001326907149</v>
      </c>
      <c r="H1667" s="8">
        <f t="shared" si="11"/>
        <v>5354.03</v>
      </c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</row>
    <row r="1668">
      <c r="A1668" s="54">
        <f t="shared" si="12"/>
        <v>45449</v>
      </c>
      <c r="B1668" s="8">
        <f t="shared" si="13"/>
        <v>979234042.2</v>
      </c>
      <c r="C1668" s="8">
        <f t="shared" si="14"/>
        <v>0.0005178082192</v>
      </c>
      <c r="D1668" s="8">
        <v>5352.96</v>
      </c>
      <c r="E1668" s="8">
        <f t="shared" si="17"/>
        <v>-0.0001998494592</v>
      </c>
      <c r="F1668" s="53">
        <v>4.865471349</v>
      </c>
      <c r="G1668" s="8">
        <f t="shared" si="16"/>
        <v>0.0001333005849</v>
      </c>
      <c r="H1668" s="8">
        <f t="shared" si="11"/>
        <v>5352.96</v>
      </c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</row>
    <row r="1669">
      <c r="A1669" s="54">
        <f t="shared" si="12"/>
        <v>45450</v>
      </c>
      <c r="B1669" s="8">
        <f t="shared" si="13"/>
        <v>979741097.6</v>
      </c>
      <c r="C1669" s="8">
        <f t="shared" si="14"/>
        <v>0.0005178082192</v>
      </c>
      <c r="D1669" s="8">
        <v>5346.99</v>
      </c>
      <c r="E1669" s="8">
        <f t="shared" si="17"/>
        <v>-0.001115270803</v>
      </c>
      <c r="F1669" s="53">
        <v>4.850005986</v>
      </c>
      <c r="G1669" s="8">
        <f t="shared" si="16"/>
        <v>0.0001328768763</v>
      </c>
      <c r="H1669" s="8">
        <f t="shared" si="11"/>
        <v>5346.99</v>
      </c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</row>
    <row r="1670">
      <c r="A1670" s="54">
        <f t="shared" si="12"/>
        <v>45451</v>
      </c>
      <c r="B1670" s="8">
        <f t="shared" si="13"/>
        <v>980248415.6</v>
      </c>
      <c r="C1670" s="8">
        <f t="shared" si="14"/>
        <v>0.0005178082192</v>
      </c>
      <c r="D1670" s="8">
        <v>5346.99</v>
      </c>
      <c r="E1670" s="8">
        <f t="shared" si="17"/>
        <v>0</v>
      </c>
      <c r="F1670" s="53">
        <v>4.973638937</v>
      </c>
      <c r="G1670" s="8">
        <f t="shared" si="16"/>
        <v>0.0001362640805</v>
      </c>
      <c r="H1670" s="8">
        <f t="shared" si="11"/>
        <v>5346.99</v>
      </c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</row>
    <row r="1671">
      <c r="A1671" s="54">
        <f t="shared" si="12"/>
        <v>45452</v>
      </c>
      <c r="B1671" s="8">
        <f t="shared" si="13"/>
        <v>980755996.3</v>
      </c>
      <c r="C1671" s="8">
        <f t="shared" si="14"/>
        <v>0.0005178082192</v>
      </c>
      <c r="D1671" s="8">
        <v>5346.99</v>
      </c>
      <c r="E1671" s="8">
        <f t="shared" si="17"/>
        <v>0</v>
      </c>
      <c r="F1671" s="53">
        <v>4.953351507</v>
      </c>
      <c r="G1671" s="8">
        <f t="shared" si="16"/>
        <v>0.0001357082605</v>
      </c>
      <c r="H1671" s="8">
        <f t="shared" si="11"/>
        <v>5346.99</v>
      </c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</row>
    <row r="1672">
      <c r="A1672" s="54">
        <f t="shared" si="12"/>
        <v>45453</v>
      </c>
      <c r="B1672" s="8">
        <f t="shared" si="13"/>
        <v>981263839.8</v>
      </c>
      <c r="C1672" s="8">
        <f t="shared" si="14"/>
        <v>0.0005178082192</v>
      </c>
      <c r="D1672" s="8">
        <v>5360.79</v>
      </c>
      <c r="E1672" s="8">
        <f t="shared" si="17"/>
        <v>0.002580891305</v>
      </c>
      <c r="F1672" s="53">
        <v>4.935823185</v>
      </c>
      <c r="G1672" s="8">
        <f t="shared" si="16"/>
        <v>0.0001352280325</v>
      </c>
      <c r="H1672" s="8">
        <f t="shared" si="11"/>
        <v>5360.79</v>
      </c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</row>
    <row r="1673">
      <c r="A1673" s="54">
        <f t="shared" si="12"/>
        <v>45454</v>
      </c>
      <c r="B1673" s="8">
        <f t="shared" si="13"/>
        <v>981771946.3</v>
      </c>
      <c r="C1673" s="8">
        <f t="shared" si="14"/>
        <v>0.0005178082192</v>
      </c>
      <c r="D1673" s="8">
        <v>5375.32</v>
      </c>
      <c r="E1673" s="8">
        <f t="shared" si="17"/>
        <v>0.002710421412</v>
      </c>
      <c r="F1673" s="53">
        <v>4.849550124</v>
      </c>
      <c r="G1673" s="8">
        <f t="shared" si="16"/>
        <v>0.000132864387</v>
      </c>
      <c r="H1673" s="8">
        <f t="shared" si="11"/>
        <v>5375.32</v>
      </c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</row>
    <row r="1674">
      <c r="A1674" s="54">
        <f t="shared" si="12"/>
        <v>45455</v>
      </c>
      <c r="B1674" s="8">
        <f t="shared" si="13"/>
        <v>982280315.9</v>
      </c>
      <c r="C1674" s="8">
        <f t="shared" si="14"/>
        <v>0.0005178082192</v>
      </c>
      <c r="D1674" s="8">
        <v>5421.03</v>
      </c>
      <c r="E1674" s="8">
        <f t="shared" si="17"/>
        <v>0.008503679781</v>
      </c>
      <c r="F1674" s="53">
        <v>4.910668654</v>
      </c>
      <c r="G1674" s="8">
        <f t="shared" si="16"/>
        <v>0.0001345388672</v>
      </c>
      <c r="H1674" s="8">
        <f t="shared" si="11"/>
        <v>5421.03</v>
      </c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</row>
    <row r="1675">
      <c r="A1675" s="54">
        <f t="shared" si="12"/>
        <v>45456</v>
      </c>
      <c r="B1675" s="8">
        <f t="shared" si="13"/>
        <v>982788948.7</v>
      </c>
      <c r="C1675" s="8">
        <f t="shared" si="14"/>
        <v>0.0005178082192</v>
      </c>
      <c r="D1675" s="8">
        <v>5433.74</v>
      </c>
      <c r="E1675" s="8">
        <f t="shared" si="17"/>
        <v>0.002344572895</v>
      </c>
      <c r="F1675" s="53">
        <v>4.890339838</v>
      </c>
      <c r="G1675" s="8">
        <f t="shared" si="16"/>
        <v>0.0001339819134</v>
      </c>
      <c r="H1675" s="8">
        <f t="shared" si="11"/>
        <v>5433.74</v>
      </c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</row>
    <row r="1676">
      <c r="A1676" s="54">
        <f t="shared" si="12"/>
        <v>45457</v>
      </c>
      <c r="B1676" s="8">
        <f t="shared" si="13"/>
        <v>983297844.9</v>
      </c>
      <c r="C1676" s="8">
        <f t="shared" si="14"/>
        <v>0.0005178082192</v>
      </c>
      <c r="D1676" s="8">
        <v>5431.6</v>
      </c>
      <c r="E1676" s="8">
        <f t="shared" si="17"/>
        <v>-0.0003938355534</v>
      </c>
      <c r="F1676" s="53">
        <v>4.902267945</v>
      </c>
      <c r="G1676" s="8">
        <f t="shared" si="16"/>
        <v>0.0001343087108</v>
      </c>
      <c r="H1676" s="8">
        <f t="shared" si="11"/>
        <v>5431.6</v>
      </c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</row>
    <row r="1677">
      <c r="A1677" s="54">
        <f t="shared" si="12"/>
        <v>45458</v>
      </c>
      <c r="B1677" s="8">
        <f t="shared" si="13"/>
        <v>983807004.6</v>
      </c>
      <c r="C1677" s="8">
        <f t="shared" si="14"/>
        <v>0.0005178082192</v>
      </c>
      <c r="D1677" s="8">
        <v>5431.6</v>
      </c>
      <c r="E1677" s="8">
        <f t="shared" si="17"/>
        <v>0</v>
      </c>
      <c r="F1677" s="53">
        <v>4.929864088</v>
      </c>
      <c r="G1677" s="8">
        <f t="shared" si="16"/>
        <v>0.0001350647695</v>
      </c>
      <c r="H1677" s="8">
        <f t="shared" si="11"/>
        <v>5431.6</v>
      </c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</row>
    <row r="1678">
      <c r="A1678" s="54">
        <f t="shared" si="12"/>
        <v>45459</v>
      </c>
      <c r="B1678" s="8">
        <f t="shared" si="13"/>
        <v>984316428</v>
      </c>
      <c r="C1678" s="8">
        <f t="shared" si="14"/>
        <v>0.0005178082192</v>
      </c>
      <c r="D1678" s="8">
        <v>5431.6</v>
      </c>
      <c r="E1678" s="8">
        <f t="shared" si="17"/>
        <v>0</v>
      </c>
      <c r="F1678" s="53">
        <v>4.948062457</v>
      </c>
      <c r="G1678" s="8">
        <f t="shared" si="16"/>
        <v>0.000135563355</v>
      </c>
      <c r="H1678" s="8">
        <f t="shared" si="11"/>
        <v>5431.6</v>
      </c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</row>
    <row r="1679">
      <c r="A1679" s="54">
        <f t="shared" si="12"/>
        <v>45460</v>
      </c>
      <c r="B1679" s="8">
        <f t="shared" si="13"/>
        <v>984826115.1</v>
      </c>
      <c r="C1679" s="8">
        <f t="shared" si="14"/>
        <v>0.0005178082192</v>
      </c>
      <c r="D1679" s="8">
        <v>5473.23</v>
      </c>
      <c r="E1679" s="8">
        <f t="shared" si="17"/>
        <v>0.007664408277</v>
      </c>
      <c r="F1679" s="53">
        <v>4.905256348</v>
      </c>
      <c r="G1679" s="8">
        <f t="shared" si="16"/>
        <v>0.0001343905849</v>
      </c>
      <c r="H1679" s="8">
        <f t="shared" si="11"/>
        <v>5473.23</v>
      </c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</row>
    <row r="1680">
      <c r="A1680" s="54">
        <f t="shared" si="12"/>
        <v>45461</v>
      </c>
      <c r="B1680" s="8">
        <f t="shared" si="13"/>
        <v>985336066.1</v>
      </c>
      <c r="C1680" s="8">
        <f t="shared" si="14"/>
        <v>0.0005178082192</v>
      </c>
      <c r="D1680" s="8">
        <v>5487.03</v>
      </c>
      <c r="E1680" s="8">
        <f t="shared" si="17"/>
        <v>0.002521363071</v>
      </c>
      <c r="F1680" s="53">
        <v>4.882048246</v>
      </c>
      <c r="G1680" s="8">
        <f t="shared" si="16"/>
        <v>0.0001337547465</v>
      </c>
      <c r="H1680" s="8">
        <f t="shared" si="11"/>
        <v>5487.03</v>
      </c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</row>
    <row r="1681">
      <c r="A1681" s="54">
        <f t="shared" si="12"/>
        <v>45462</v>
      </c>
      <c r="B1681" s="8">
        <f t="shared" si="13"/>
        <v>985846281.3</v>
      </c>
      <c r="C1681" s="8">
        <f t="shared" si="14"/>
        <v>0.0005178082192</v>
      </c>
      <c r="D1681" s="8">
        <v>5487.03</v>
      </c>
      <c r="E1681" s="8">
        <f t="shared" si="17"/>
        <v>0</v>
      </c>
      <c r="F1681" s="53">
        <v>4.924789306</v>
      </c>
      <c r="G1681" s="8">
        <f t="shared" si="16"/>
        <v>0.0001349257344</v>
      </c>
      <c r="H1681" s="8">
        <f t="shared" si="11"/>
        <v>5487.03</v>
      </c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</row>
    <row r="1682">
      <c r="A1682" s="54">
        <f t="shared" si="12"/>
        <v>45463</v>
      </c>
      <c r="B1682" s="8">
        <f t="shared" si="13"/>
        <v>986356760.6</v>
      </c>
      <c r="C1682" s="8">
        <f t="shared" si="14"/>
        <v>0.0005178082192</v>
      </c>
      <c r="D1682" s="8">
        <v>5473.17</v>
      </c>
      <c r="E1682" s="8">
        <f t="shared" si="17"/>
        <v>-0.002525956665</v>
      </c>
      <c r="F1682" s="53">
        <v>4.887545637</v>
      </c>
      <c r="G1682" s="8">
        <f t="shared" si="16"/>
        <v>0.0001339053599</v>
      </c>
      <c r="H1682" s="8">
        <f t="shared" si="11"/>
        <v>5473.17</v>
      </c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</row>
    <row r="1683">
      <c r="A1683" s="54">
        <f t="shared" si="12"/>
        <v>45464</v>
      </c>
      <c r="B1683" s="8">
        <f t="shared" si="13"/>
        <v>986867504.2</v>
      </c>
      <c r="C1683" s="8">
        <f t="shared" si="14"/>
        <v>0.0005178082192</v>
      </c>
      <c r="D1683" s="8">
        <v>5464.62</v>
      </c>
      <c r="E1683" s="8">
        <f t="shared" si="17"/>
        <v>-0.001562165984</v>
      </c>
      <c r="F1683" s="53">
        <v>4.95695071</v>
      </c>
      <c r="G1683" s="8">
        <f t="shared" si="16"/>
        <v>0.0001358068688</v>
      </c>
      <c r="H1683" s="8">
        <f t="shared" si="11"/>
        <v>5464.62</v>
      </c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</row>
    <row r="1684">
      <c r="A1684" s="54">
        <f t="shared" si="12"/>
        <v>45465</v>
      </c>
      <c r="B1684" s="8">
        <f t="shared" si="13"/>
        <v>987378512.3</v>
      </c>
      <c r="C1684" s="8">
        <f t="shared" si="14"/>
        <v>0.0005178082192</v>
      </c>
      <c r="D1684" s="8">
        <v>5464.62</v>
      </c>
      <c r="E1684" s="8">
        <f t="shared" si="17"/>
        <v>0</v>
      </c>
      <c r="F1684" s="53">
        <v>4.892349857</v>
      </c>
      <c r="G1684" s="8">
        <f t="shared" si="16"/>
        <v>0.0001340369824</v>
      </c>
      <c r="H1684" s="8">
        <f t="shared" si="11"/>
        <v>5464.62</v>
      </c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</row>
    <row r="1685">
      <c r="A1685" s="54">
        <f t="shared" si="12"/>
        <v>45466</v>
      </c>
      <c r="B1685" s="8">
        <f t="shared" si="13"/>
        <v>987889785</v>
      </c>
      <c r="C1685" s="8">
        <f t="shared" si="14"/>
        <v>0.0005178082192</v>
      </c>
      <c r="D1685" s="8">
        <v>5464.62</v>
      </c>
      <c r="E1685" s="8">
        <f t="shared" si="17"/>
        <v>0</v>
      </c>
      <c r="F1685" s="53">
        <v>4.927363825</v>
      </c>
      <c r="G1685" s="8">
        <f t="shared" si="16"/>
        <v>0.0001349962692</v>
      </c>
      <c r="H1685" s="8">
        <f t="shared" si="11"/>
        <v>5464.62</v>
      </c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</row>
    <row r="1686">
      <c r="A1686" s="54">
        <f t="shared" si="12"/>
        <v>45467</v>
      </c>
      <c r="B1686" s="8">
        <f t="shared" si="13"/>
        <v>988401322.5</v>
      </c>
      <c r="C1686" s="8">
        <f t="shared" si="14"/>
        <v>0.0005178082192</v>
      </c>
      <c r="D1686" s="8">
        <v>5447.87</v>
      </c>
      <c r="E1686" s="8">
        <f t="shared" si="17"/>
        <v>-0.003065171961</v>
      </c>
      <c r="F1686" s="53">
        <v>4.895378324</v>
      </c>
      <c r="G1686" s="8">
        <f t="shared" si="16"/>
        <v>0.0001341199541</v>
      </c>
      <c r="H1686" s="8">
        <f t="shared" si="11"/>
        <v>5447.87</v>
      </c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</row>
    <row r="1687">
      <c r="A1687" s="54">
        <f t="shared" si="12"/>
        <v>45468</v>
      </c>
      <c r="B1687" s="8">
        <f t="shared" si="13"/>
        <v>988913124.8</v>
      </c>
      <c r="C1687" s="8">
        <f t="shared" si="14"/>
        <v>0.0005178082192</v>
      </c>
      <c r="D1687" s="8">
        <v>5468.3</v>
      </c>
      <c r="E1687" s="8">
        <f t="shared" si="17"/>
        <v>0.003750089485</v>
      </c>
      <c r="F1687" s="53">
        <v>4.856649285</v>
      </c>
      <c r="G1687" s="8">
        <f t="shared" si="16"/>
        <v>0.0001330588845</v>
      </c>
      <c r="H1687" s="8">
        <f t="shared" si="11"/>
        <v>5468.3</v>
      </c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</row>
    <row r="1688">
      <c r="A1688" s="54">
        <f t="shared" si="12"/>
        <v>45469</v>
      </c>
      <c r="B1688" s="8">
        <f t="shared" si="13"/>
        <v>989425192.1</v>
      </c>
      <c r="C1688" s="8">
        <f t="shared" si="14"/>
        <v>0.0005178082192</v>
      </c>
      <c r="D1688" s="8">
        <v>5477.9</v>
      </c>
      <c r="E1688" s="8">
        <f t="shared" si="17"/>
        <v>0.00175557303</v>
      </c>
      <c r="F1688" s="53">
        <v>4.907720756</v>
      </c>
      <c r="G1688" s="8">
        <f t="shared" si="16"/>
        <v>0.0001344581029</v>
      </c>
      <c r="H1688" s="8">
        <f t="shared" si="11"/>
        <v>5477.9</v>
      </c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</row>
    <row r="1689">
      <c r="A1689" s="54">
        <f t="shared" si="12"/>
        <v>45470</v>
      </c>
      <c r="B1689" s="8">
        <f t="shared" si="13"/>
        <v>989937524.6</v>
      </c>
      <c r="C1689" s="8">
        <f t="shared" si="14"/>
        <v>0.0005178082192</v>
      </c>
      <c r="D1689" s="8">
        <v>5482.87</v>
      </c>
      <c r="E1689" s="8">
        <f t="shared" si="17"/>
        <v>0.0009072819876</v>
      </c>
      <c r="F1689" s="53">
        <v>4.861958945</v>
      </c>
      <c r="G1689" s="8">
        <f t="shared" si="16"/>
        <v>0.0001332043547</v>
      </c>
      <c r="H1689" s="8">
        <f t="shared" si="11"/>
        <v>5482.87</v>
      </c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</row>
    <row r="1690">
      <c r="A1690" s="54">
        <f t="shared" si="12"/>
        <v>45471</v>
      </c>
      <c r="B1690" s="8">
        <f t="shared" si="13"/>
        <v>990450122.4</v>
      </c>
      <c r="C1690" s="8">
        <f t="shared" si="14"/>
        <v>0.0005178082192</v>
      </c>
      <c r="D1690" s="8">
        <v>5460.48</v>
      </c>
      <c r="E1690" s="8">
        <f t="shared" si="17"/>
        <v>-0.004083627735</v>
      </c>
      <c r="F1690" s="53">
        <v>4.861399924</v>
      </c>
      <c r="G1690" s="8">
        <f t="shared" si="16"/>
        <v>0.000133189039</v>
      </c>
      <c r="H1690" s="8">
        <f t="shared" si="11"/>
        <v>5460.48</v>
      </c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</row>
    <row r="1691">
      <c r="A1691" s="54">
        <f t="shared" si="12"/>
        <v>45472</v>
      </c>
      <c r="B1691" s="8">
        <f t="shared" si="13"/>
        <v>990962985.6</v>
      </c>
      <c r="C1691" s="8">
        <f t="shared" si="14"/>
        <v>0.0005178082192</v>
      </c>
      <c r="D1691" s="8">
        <v>5460.48</v>
      </c>
      <c r="E1691" s="8">
        <f t="shared" si="17"/>
        <v>0</v>
      </c>
      <c r="F1691" s="53">
        <v>4.90294035</v>
      </c>
      <c r="G1691" s="8">
        <f t="shared" si="16"/>
        <v>0.0001343271329</v>
      </c>
      <c r="H1691" s="8">
        <f t="shared" si="11"/>
        <v>5460.48</v>
      </c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</row>
    <row r="1692">
      <c r="A1692" s="54">
        <f t="shared" si="12"/>
        <v>45473</v>
      </c>
      <c r="B1692" s="8">
        <f t="shared" si="13"/>
        <v>991476114.4</v>
      </c>
      <c r="C1692" s="8">
        <f t="shared" si="14"/>
        <v>0.0005178082192</v>
      </c>
      <c r="D1692" s="8">
        <v>5460.48</v>
      </c>
      <c r="E1692" s="8">
        <f t="shared" si="17"/>
        <v>0</v>
      </c>
      <c r="F1692" s="53">
        <v>4.772872762</v>
      </c>
      <c r="G1692" s="8">
        <f t="shared" si="16"/>
        <v>0.0001307636373</v>
      </c>
      <c r="H1692" s="8">
        <f t="shared" si="11"/>
        <v>5460.48</v>
      </c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</row>
    <row r="1693">
      <c r="A1693" s="54">
        <f t="shared" si="12"/>
        <v>45474</v>
      </c>
      <c r="B1693" s="8">
        <f t="shared" si="13"/>
        <v>991989508.9</v>
      </c>
      <c r="C1693" s="8">
        <f t="shared" si="14"/>
        <v>0.0005178082192</v>
      </c>
      <c r="D1693" s="8">
        <v>5475.09</v>
      </c>
      <c r="E1693" s="8">
        <f t="shared" si="17"/>
        <v>0.002675588959</v>
      </c>
      <c r="F1693" s="53">
        <v>4.810434146</v>
      </c>
      <c r="G1693" s="8">
        <f t="shared" si="16"/>
        <v>0.0001317927163</v>
      </c>
      <c r="H1693" s="8">
        <f t="shared" si="11"/>
        <v>5475.09</v>
      </c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</row>
    <row r="1694">
      <c r="A1694" s="54">
        <f t="shared" si="12"/>
        <v>45475</v>
      </c>
      <c r="B1694" s="8">
        <f t="shared" si="13"/>
        <v>992503169.2</v>
      </c>
      <c r="C1694" s="8">
        <f t="shared" si="14"/>
        <v>0.0005178082192</v>
      </c>
      <c r="D1694" s="8">
        <v>5509.01</v>
      </c>
      <c r="E1694" s="8">
        <f t="shared" si="17"/>
        <v>0.006195331949</v>
      </c>
      <c r="F1694" s="53">
        <v>4.904377078</v>
      </c>
      <c r="G1694" s="8">
        <f t="shared" si="16"/>
        <v>0.0001343664953</v>
      </c>
      <c r="H1694" s="8">
        <f t="shared" si="11"/>
        <v>5509.01</v>
      </c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</row>
    <row r="1695">
      <c r="A1695" s="54">
        <f t="shared" si="12"/>
        <v>45476</v>
      </c>
      <c r="B1695" s="8">
        <f t="shared" si="13"/>
        <v>993017095.5</v>
      </c>
      <c r="C1695" s="8">
        <f t="shared" si="14"/>
        <v>0.0005178082192</v>
      </c>
      <c r="D1695" s="8">
        <v>5537.02</v>
      </c>
      <c r="E1695" s="8">
        <f t="shared" si="17"/>
        <v>0.005084398104</v>
      </c>
      <c r="F1695" s="53">
        <v>4.926242374</v>
      </c>
      <c r="G1695" s="8">
        <f t="shared" si="16"/>
        <v>0.0001349655445</v>
      </c>
      <c r="H1695" s="8">
        <f t="shared" si="11"/>
        <v>5537.02</v>
      </c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</row>
    <row r="1696">
      <c r="A1696" s="54">
        <f t="shared" si="12"/>
        <v>45477</v>
      </c>
      <c r="B1696" s="8">
        <f t="shared" si="13"/>
        <v>993531287.9</v>
      </c>
      <c r="C1696" s="8">
        <f t="shared" si="14"/>
        <v>0.0005178082192</v>
      </c>
      <c r="D1696" s="8">
        <v>5537.02</v>
      </c>
      <c r="E1696" s="8">
        <f t="shared" si="17"/>
        <v>0</v>
      </c>
      <c r="F1696" s="53">
        <v>4.922945511</v>
      </c>
      <c r="G1696" s="8">
        <f t="shared" si="16"/>
        <v>0.0001348752195</v>
      </c>
      <c r="H1696" s="8">
        <f t="shared" si="11"/>
        <v>5537.02</v>
      </c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</row>
    <row r="1697">
      <c r="A1697" s="54">
        <f t="shared" si="12"/>
        <v>45478</v>
      </c>
      <c r="B1697" s="8">
        <f t="shared" si="13"/>
        <v>994045746.6</v>
      </c>
      <c r="C1697" s="8">
        <f t="shared" si="14"/>
        <v>0.0005178082192</v>
      </c>
      <c r="D1697" s="8">
        <v>5567.19</v>
      </c>
      <c r="E1697" s="8">
        <f t="shared" si="17"/>
        <v>0.005448779307</v>
      </c>
      <c r="F1697" s="53">
        <v>4.886609369</v>
      </c>
      <c r="G1697" s="8">
        <f t="shared" si="16"/>
        <v>0.0001338797087</v>
      </c>
      <c r="H1697" s="8">
        <f t="shared" si="11"/>
        <v>5567.19</v>
      </c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</row>
    <row r="1698">
      <c r="A1698" s="54">
        <f t="shared" si="12"/>
        <v>45479</v>
      </c>
      <c r="B1698" s="8">
        <f t="shared" si="13"/>
        <v>994560471.7</v>
      </c>
      <c r="C1698" s="8">
        <f t="shared" si="14"/>
        <v>0.0005178082192</v>
      </c>
      <c r="D1698" s="8">
        <v>5567.19</v>
      </c>
      <c r="E1698" s="8">
        <f t="shared" si="17"/>
        <v>0</v>
      </c>
      <c r="F1698" s="53">
        <v>4.857109467</v>
      </c>
      <c r="G1698" s="8">
        <f t="shared" si="16"/>
        <v>0.0001330714922</v>
      </c>
      <c r="H1698" s="8">
        <f t="shared" si="11"/>
        <v>5567.19</v>
      </c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</row>
    <row r="1699">
      <c r="A1699" s="54">
        <f t="shared" si="12"/>
        <v>45480</v>
      </c>
      <c r="B1699" s="8">
        <f t="shared" si="13"/>
        <v>995075463.2</v>
      </c>
      <c r="C1699" s="8">
        <f t="shared" si="14"/>
        <v>0.0005178082192</v>
      </c>
      <c r="D1699" s="8">
        <v>5567.19</v>
      </c>
      <c r="E1699" s="8">
        <f t="shared" si="17"/>
        <v>0</v>
      </c>
      <c r="F1699" s="53">
        <v>4.881064933</v>
      </c>
      <c r="G1699" s="8">
        <f t="shared" si="16"/>
        <v>0.0001337278064</v>
      </c>
      <c r="H1699" s="8">
        <f t="shared" si="11"/>
        <v>5567.19</v>
      </c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</row>
    <row r="1700">
      <c r="A1700" s="54">
        <f t="shared" si="12"/>
        <v>45481</v>
      </c>
      <c r="B1700" s="8">
        <f t="shared" si="13"/>
        <v>995590721.5</v>
      </c>
      <c r="C1700" s="8">
        <f t="shared" si="14"/>
        <v>0.0005178082192</v>
      </c>
      <c r="D1700" s="8">
        <v>5572.85</v>
      </c>
      <c r="E1700" s="8">
        <f t="shared" si="17"/>
        <v>0.001016670888</v>
      </c>
      <c r="F1700" s="53">
        <v>4.89903116</v>
      </c>
      <c r="G1700" s="8">
        <f t="shared" si="16"/>
        <v>0.0001342200318</v>
      </c>
      <c r="H1700" s="8">
        <f t="shared" si="11"/>
        <v>5572.85</v>
      </c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</row>
    <row r="1701">
      <c r="A1701" s="54">
        <f t="shared" si="12"/>
        <v>45482</v>
      </c>
      <c r="B1701" s="8">
        <f t="shared" si="13"/>
        <v>996106246.6</v>
      </c>
      <c r="C1701" s="8">
        <f t="shared" si="14"/>
        <v>0.0005178082192</v>
      </c>
      <c r="D1701" s="8">
        <v>5576.98</v>
      </c>
      <c r="E1701" s="8">
        <f t="shared" si="17"/>
        <v>0.0007410929776</v>
      </c>
      <c r="F1701" s="53">
        <v>4.907967958</v>
      </c>
      <c r="G1701" s="8">
        <f t="shared" si="16"/>
        <v>0.0001344648756</v>
      </c>
      <c r="H1701" s="8">
        <f t="shared" si="11"/>
        <v>5576.98</v>
      </c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</row>
    <row r="1702">
      <c r="A1702" s="54">
        <f t="shared" si="12"/>
        <v>45483</v>
      </c>
      <c r="B1702" s="8">
        <f t="shared" si="13"/>
        <v>996622038.6</v>
      </c>
      <c r="C1702" s="8">
        <f t="shared" si="14"/>
        <v>0.0005178082192</v>
      </c>
      <c r="D1702" s="8">
        <v>5633.91</v>
      </c>
      <c r="E1702" s="8">
        <f t="shared" si="17"/>
        <v>0.01020803374</v>
      </c>
      <c r="F1702" s="53">
        <v>4.8889523</v>
      </c>
      <c r="G1702" s="8">
        <f t="shared" si="16"/>
        <v>0.0001339438986</v>
      </c>
      <c r="H1702" s="8">
        <f t="shared" si="11"/>
        <v>5633.91</v>
      </c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</row>
    <row r="1703">
      <c r="A1703" s="54">
        <f t="shared" si="12"/>
        <v>45484</v>
      </c>
      <c r="B1703" s="8">
        <f t="shared" si="13"/>
        <v>997138097.6</v>
      </c>
      <c r="C1703" s="8">
        <f t="shared" si="14"/>
        <v>0.0005178082192</v>
      </c>
      <c r="D1703" s="8">
        <v>5584.54</v>
      </c>
      <c r="E1703" s="8">
        <f t="shared" si="17"/>
        <v>-0.008763008284</v>
      </c>
      <c r="F1703" s="53">
        <v>4.891109514</v>
      </c>
      <c r="G1703" s="8">
        <f t="shared" si="16"/>
        <v>0.0001340030004</v>
      </c>
      <c r="H1703" s="8">
        <f t="shared" si="11"/>
        <v>5584.54</v>
      </c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</row>
    <row r="1704">
      <c r="A1704" s="54">
        <f t="shared" si="12"/>
        <v>45485</v>
      </c>
      <c r="B1704" s="8">
        <f t="shared" si="13"/>
        <v>997654423.9</v>
      </c>
      <c r="C1704" s="8">
        <f t="shared" si="14"/>
        <v>0.0005178082192</v>
      </c>
      <c r="D1704" s="8">
        <v>5615.35</v>
      </c>
      <c r="E1704" s="8">
        <f t="shared" si="17"/>
        <v>0.005517016621</v>
      </c>
      <c r="F1704" s="53">
        <v>4.895988278</v>
      </c>
      <c r="G1704" s="8">
        <f t="shared" si="16"/>
        <v>0.0001341366652</v>
      </c>
      <c r="H1704" s="8">
        <f t="shared" si="11"/>
        <v>5615.35</v>
      </c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</row>
    <row r="1705">
      <c r="A1705" s="54">
        <f t="shared" si="12"/>
        <v>45486</v>
      </c>
      <c r="B1705" s="8">
        <f t="shared" si="13"/>
        <v>998171017.6</v>
      </c>
      <c r="C1705" s="8">
        <f t="shared" si="14"/>
        <v>0.0005178082192</v>
      </c>
      <c r="D1705" s="8">
        <v>5615.35</v>
      </c>
      <c r="E1705" s="8">
        <f t="shared" si="17"/>
        <v>0</v>
      </c>
      <c r="F1705" s="53">
        <v>4.871698157</v>
      </c>
      <c r="G1705" s="8">
        <f t="shared" si="16"/>
        <v>0.0001334711824</v>
      </c>
      <c r="H1705" s="8">
        <f t="shared" si="11"/>
        <v>5615.35</v>
      </c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</row>
    <row r="1706">
      <c r="A1706" s="54">
        <f t="shared" si="12"/>
        <v>45487</v>
      </c>
      <c r="B1706" s="8">
        <f t="shared" si="13"/>
        <v>998687878.8</v>
      </c>
      <c r="C1706" s="8">
        <f t="shared" si="14"/>
        <v>0.0005178082192</v>
      </c>
      <c r="D1706" s="8">
        <v>5615.35</v>
      </c>
      <c r="E1706" s="8">
        <f t="shared" si="17"/>
        <v>0</v>
      </c>
      <c r="F1706" s="53">
        <v>4.899724917</v>
      </c>
      <c r="G1706" s="8">
        <f t="shared" si="16"/>
        <v>0.0001342390388</v>
      </c>
      <c r="H1706" s="8">
        <f t="shared" si="11"/>
        <v>5615.35</v>
      </c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</row>
    <row r="1707">
      <c r="A1707" s="54">
        <f t="shared" si="12"/>
        <v>45488</v>
      </c>
      <c r="B1707" s="8">
        <f t="shared" si="13"/>
        <v>999205007.6</v>
      </c>
      <c r="C1707" s="8">
        <f t="shared" si="14"/>
        <v>0.0005178082192</v>
      </c>
      <c r="D1707" s="8">
        <v>5631.22</v>
      </c>
      <c r="E1707" s="8">
        <f t="shared" si="17"/>
        <v>0.002826181805</v>
      </c>
      <c r="F1707" s="53">
        <v>4.896942575</v>
      </c>
      <c r="G1707" s="8">
        <f t="shared" si="16"/>
        <v>0.0001341628103</v>
      </c>
      <c r="H1707" s="8">
        <f t="shared" si="11"/>
        <v>5631.22</v>
      </c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</row>
    <row r="1708">
      <c r="A1708" s="54">
        <f t="shared" si="12"/>
        <v>45489</v>
      </c>
      <c r="B1708" s="8">
        <f t="shared" si="13"/>
        <v>999722404.1</v>
      </c>
      <c r="C1708" s="8">
        <f t="shared" si="14"/>
        <v>0.0005178082192</v>
      </c>
      <c r="D1708" s="8">
        <v>5667.2</v>
      </c>
      <c r="E1708" s="8">
        <f t="shared" si="17"/>
        <v>0.006389379211</v>
      </c>
      <c r="F1708" s="53">
        <v>4.971743198</v>
      </c>
      <c r="G1708" s="8">
        <f t="shared" si="16"/>
        <v>0.0001362121424</v>
      </c>
      <c r="H1708" s="8">
        <f t="shared" si="11"/>
        <v>5667.2</v>
      </c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</row>
    <row r="1709">
      <c r="A1709" s="54">
        <f t="shared" si="12"/>
        <v>45490</v>
      </c>
      <c r="B1709" s="8">
        <f t="shared" si="13"/>
        <v>1000240069</v>
      </c>
      <c r="C1709" s="8">
        <f t="shared" si="14"/>
        <v>0.0005178082192</v>
      </c>
      <c r="D1709" s="8">
        <v>5588.27</v>
      </c>
      <c r="E1709" s="8">
        <f t="shared" si="17"/>
        <v>-0.0139275127</v>
      </c>
      <c r="F1709" s="53">
        <v>4.818979966</v>
      </c>
      <c r="G1709" s="8">
        <f t="shared" si="16"/>
        <v>0.0001320268484</v>
      </c>
      <c r="H1709" s="8">
        <f t="shared" si="11"/>
        <v>5588.27</v>
      </c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</row>
    <row r="1710">
      <c r="A1710" s="54">
        <f t="shared" si="12"/>
        <v>45491</v>
      </c>
      <c r="B1710" s="8">
        <f t="shared" si="13"/>
        <v>1000758001</v>
      </c>
      <c r="C1710" s="8">
        <f t="shared" si="14"/>
        <v>0.0005178082192</v>
      </c>
      <c r="D1710" s="8">
        <v>5544.59</v>
      </c>
      <c r="E1710" s="8">
        <f t="shared" si="17"/>
        <v>-0.007816372509</v>
      </c>
      <c r="F1710" s="53">
        <v>4.90677666</v>
      </c>
      <c r="G1710" s="8">
        <f t="shared" si="16"/>
        <v>0.0001344322373</v>
      </c>
      <c r="H1710" s="8">
        <f t="shared" si="11"/>
        <v>5544.59</v>
      </c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</row>
    <row r="1711">
      <c r="A1711" s="54">
        <f t="shared" si="12"/>
        <v>45492</v>
      </c>
      <c r="B1711" s="8">
        <f t="shared" si="13"/>
        <v>1001276202</v>
      </c>
      <c r="C1711" s="8">
        <f t="shared" si="14"/>
        <v>0.0005178082192</v>
      </c>
      <c r="D1711" s="8">
        <v>5505.0</v>
      </c>
      <c r="E1711" s="8">
        <f t="shared" si="17"/>
        <v>-0.007140293511</v>
      </c>
      <c r="F1711" s="53">
        <v>4.9073035</v>
      </c>
      <c r="G1711" s="8">
        <f t="shared" si="16"/>
        <v>0.0001344466712</v>
      </c>
      <c r="H1711" s="8">
        <f t="shared" si="11"/>
        <v>5505</v>
      </c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</row>
    <row r="1712">
      <c r="A1712" s="54">
        <f t="shared" si="12"/>
        <v>45493</v>
      </c>
      <c r="B1712" s="8">
        <f t="shared" si="13"/>
        <v>1001794671</v>
      </c>
      <c r="C1712" s="8">
        <f t="shared" si="14"/>
        <v>0.0005178082192</v>
      </c>
      <c r="D1712" s="8">
        <v>5505.0</v>
      </c>
      <c r="E1712" s="8">
        <f t="shared" si="17"/>
        <v>0</v>
      </c>
      <c r="F1712" s="53">
        <v>4.851565034</v>
      </c>
      <c r="G1712" s="8">
        <f t="shared" si="16"/>
        <v>0.00013291959</v>
      </c>
      <c r="H1712" s="8">
        <f t="shared" si="11"/>
        <v>5505</v>
      </c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</row>
    <row r="1713">
      <c r="A1713" s="54">
        <f t="shared" si="12"/>
        <v>45494</v>
      </c>
      <c r="B1713" s="8">
        <f t="shared" si="13"/>
        <v>1002313408</v>
      </c>
      <c r="C1713" s="8">
        <f t="shared" si="14"/>
        <v>0.0005178082192</v>
      </c>
      <c r="D1713" s="8">
        <v>5505.0</v>
      </c>
      <c r="E1713" s="8">
        <f t="shared" si="17"/>
        <v>0</v>
      </c>
      <c r="F1713" s="53">
        <v>4.877932016</v>
      </c>
      <c r="G1713" s="8">
        <f t="shared" si="16"/>
        <v>0.000133641973</v>
      </c>
      <c r="H1713" s="8">
        <f t="shared" si="11"/>
        <v>5505</v>
      </c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</row>
    <row r="1714">
      <c r="A1714" s="54">
        <f t="shared" si="12"/>
        <v>45495</v>
      </c>
      <c r="B1714" s="8">
        <f t="shared" si="13"/>
        <v>1002832415</v>
      </c>
      <c r="C1714" s="8">
        <f t="shared" si="14"/>
        <v>0.0005178082192</v>
      </c>
      <c r="D1714" s="8">
        <v>5564.41</v>
      </c>
      <c r="E1714" s="8">
        <f t="shared" si="17"/>
        <v>0.01079200727</v>
      </c>
      <c r="F1714" s="53">
        <v>4.93915683</v>
      </c>
      <c r="G1714" s="8">
        <f t="shared" si="16"/>
        <v>0.0001353193652</v>
      </c>
      <c r="H1714" s="8">
        <f t="shared" si="11"/>
        <v>5564.41</v>
      </c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</row>
    <row r="1715">
      <c r="A1715" s="54">
        <f t="shared" si="12"/>
        <v>45496</v>
      </c>
      <c r="B1715" s="8">
        <f t="shared" si="13"/>
        <v>1003351689</v>
      </c>
      <c r="C1715" s="8">
        <f t="shared" si="14"/>
        <v>0.0005178082192</v>
      </c>
      <c r="D1715" s="8">
        <v>5555.74</v>
      </c>
      <c r="E1715" s="8">
        <f t="shared" si="17"/>
        <v>-0.001558116674</v>
      </c>
      <c r="F1715" s="53">
        <v>4.931938138</v>
      </c>
      <c r="G1715" s="8">
        <f t="shared" si="16"/>
        <v>0.0001351215928</v>
      </c>
      <c r="H1715" s="8">
        <f t="shared" si="11"/>
        <v>5555.74</v>
      </c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</row>
    <row r="1716">
      <c r="A1716" s="54">
        <f t="shared" si="12"/>
        <v>45497</v>
      </c>
      <c r="B1716" s="8">
        <f t="shared" si="13"/>
        <v>1003871233</v>
      </c>
      <c r="C1716" s="8">
        <f t="shared" si="14"/>
        <v>0.0005178082192</v>
      </c>
      <c r="D1716" s="8">
        <v>5427.13</v>
      </c>
      <c r="E1716" s="8">
        <f t="shared" si="17"/>
        <v>-0.02314903145</v>
      </c>
      <c r="F1716" s="53">
        <v>4.780265284</v>
      </c>
      <c r="G1716" s="8">
        <f t="shared" si="16"/>
        <v>0.0001309661722</v>
      </c>
      <c r="H1716" s="8">
        <f t="shared" si="11"/>
        <v>5427.13</v>
      </c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</row>
    <row r="1717">
      <c r="A1717" s="54">
        <f t="shared" si="12"/>
        <v>45498</v>
      </c>
      <c r="B1717" s="8">
        <f t="shared" si="13"/>
        <v>1004391046</v>
      </c>
      <c r="C1717" s="8">
        <f t="shared" si="14"/>
        <v>0.0005178082192</v>
      </c>
      <c r="D1717" s="8">
        <v>5399.22</v>
      </c>
      <c r="E1717" s="8">
        <f t="shared" si="17"/>
        <v>-0.005142681307</v>
      </c>
      <c r="F1717" s="53">
        <v>4.960572116</v>
      </c>
      <c r="G1717" s="8">
        <f t="shared" si="16"/>
        <v>0.0001359060854</v>
      </c>
      <c r="H1717" s="8">
        <f t="shared" si="11"/>
        <v>5399.22</v>
      </c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</row>
    <row r="1718">
      <c r="A1718" s="54">
        <f t="shared" si="12"/>
        <v>45499</v>
      </c>
      <c r="B1718" s="8">
        <f t="shared" si="13"/>
        <v>1004911128</v>
      </c>
      <c r="C1718" s="8">
        <f t="shared" si="14"/>
        <v>0.0005178082192</v>
      </c>
      <c r="D1718" s="8">
        <v>5459.1</v>
      </c>
      <c r="E1718" s="8">
        <f t="shared" si="17"/>
        <v>0.01109049085</v>
      </c>
      <c r="F1718" s="53">
        <v>4.973063697</v>
      </c>
      <c r="G1718" s="8">
        <f t="shared" si="16"/>
        <v>0.0001362483205</v>
      </c>
      <c r="H1718" s="8">
        <f t="shared" si="11"/>
        <v>5459.1</v>
      </c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</row>
    <row r="1719">
      <c r="A1719" s="54">
        <f t="shared" si="12"/>
        <v>45500</v>
      </c>
      <c r="B1719" s="8">
        <f t="shared" si="13"/>
        <v>1005431479</v>
      </c>
      <c r="C1719" s="8">
        <f t="shared" si="14"/>
        <v>0.0005178082192</v>
      </c>
      <c r="D1719" s="8">
        <v>5459.1</v>
      </c>
      <c r="E1719" s="8">
        <f t="shared" si="17"/>
        <v>0</v>
      </c>
      <c r="F1719" s="53">
        <v>4.913716852</v>
      </c>
      <c r="G1719" s="8">
        <f t="shared" si="16"/>
        <v>0.0001346223795</v>
      </c>
      <c r="H1719" s="8">
        <f t="shared" si="11"/>
        <v>5459.1</v>
      </c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</row>
    <row r="1720">
      <c r="A1720" s="54">
        <f t="shared" si="12"/>
        <v>45501</v>
      </c>
      <c r="B1720" s="8">
        <f t="shared" si="13"/>
        <v>1005952100</v>
      </c>
      <c r="C1720" s="8">
        <f t="shared" si="14"/>
        <v>0.0005178082192</v>
      </c>
      <c r="D1720" s="8">
        <v>5459.1</v>
      </c>
      <c r="E1720" s="8">
        <f t="shared" si="17"/>
        <v>0</v>
      </c>
      <c r="F1720" s="53">
        <v>4.948990793</v>
      </c>
      <c r="G1720" s="8">
        <f t="shared" si="16"/>
        <v>0.0001355887888</v>
      </c>
      <c r="H1720" s="8">
        <f t="shared" si="11"/>
        <v>5459.1</v>
      </c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</row>
    <row r="1721">
      <c r="A1721" s="54">
        <f t="shared" si="12"/>
        <v>45502</v>
      </c>
      <c r="B1721" s="8">
        <f t="shared" si="13"/>
        <v>1006472990</v>
      </c>
      <c r="C1721" s="8">
        <f t="shared" si="14"/>
        <v>0.0005178082192</v>
      </c>
      <c r="D1721" s="8">
        <v>5463.54</v>
      </c>
      <c r="E1721" s="8">
        <f t="shared" si="17"/>
        <v>0.0008133208771</v>
      </c>
      <c r="F1721" s="53">
        <v>4.921003552</v>
      </c>
      <c r="G1721" s="8">
        <f t="shared" si="16"/>
        <v>0.0001348220151</v>
      </c>
      <c r="H1721" s="8">
        <f t="shared" si="11"/>
        <v>5463.54</v>
      </c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</row>
    <row r="1722">
      <c r="A1722" s="54">
        <f t="shared" si="12"/>
        <v>45503</v>
      </c>
      <c r="B1722" s="8">
        <f t="shared" si="13"/>
        <v>1006994150</v>
      </c>
      <c r="C1722" s="8">
        <f t="shared" si="14"/>
        <v>0.0005178082192</v>
      </c>
      <c r="D1722" s="8">
        <v>5436.44</v>
      </c>
      <c r="E1722" s="8">
        <f t="shared" si="17"/>
        <v>-0.004960154039</v>
      </c>
      <c r="F1722" s="53">
        <v>4.896122354</v>
      </c>
      <c r="G1722" s="8">
        <f t="shared" si="16"/>
        <v>0.0001341403385</v>
      </c>
      <c r="H1722" s="8">
        <f t="shared" si="11"/>
        <v>5436.44</v>
      </c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</row>
    <row r="1723">
      <c r="A1723" s="54">
        <f t="shared" si="12"/>
        <v>45504</v>
      </c>
      <c r="B1723" s="8">
        <f t="shared" si="13"/>
        <v>1007515580</v>
      </c>
      <c r="C1723" s="8">
        <f t="shared" si="14"/>
        <v>0.0005178082192</v>
      </c>
      <c r="D1723" s="8">
        <v>5522.3</v>
      </c>
      <c r="E1723" s="8">
        <f t="shared" si="17"/>
        <v>0.01579342364</v>
      </c>
      <c r="F1723" s="53">
        <v>4.853310746</v>
      </c>
      <c r="G1723" s="8">
        <f t="shared" si="16"/>
        <v>0.0001329674177</v>
      </c>
      <c r="H1723" s="8">
        <f t="shared" si="11"/>
        <v>5522.3</v>
      </c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</row>
    <row r="1724">
      <c r="A1724" s="54">
        <f t="shared" si="12"/>
        <v>45505</v>
      </c>
      <c r="B1724" s="8">
        <f t="shared" si="13"/>
        <v>1008037280</v>
      </c>
      <c r="C1724" s="8">
        <f t="shared" si="14"/>
        <v>0.0005178082192</v>
      </c>
      <c r="D1724" s="8">
        <v>5446.68</v>
      </c>
      <c r="E1724" s="8">
        <f t="shared" si="17"/>
        <v>-0.01369356971</v>
      </c>
      <c r="F1724" s="53">
        <v>4.918919273</v>
      </c>
      <c r="G1724" s="8">
        <f t="shared" si="16"/>
        <v>0.0001347649116</v>
      </c>
      <c r="H1724" s="8">
        <f t="shared" si="11"/>
        <v>5446.68</v>
      </c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</row>
    <row r="1725">
      <c r="A1725" s="54">
        <f t="shared" si="12"/>
        <v>45506</v>
      </c>
      <c r="B1725" s="8">
        <f t="shared" si="13"/>
        <v>1008559250</v>
      </c>
      <c r="C1725" s="8">
        <f t="shared" si="14"/>
        <v>0.0005178082192</v>
      </c>
      <c r="D1725" s="8">
        <v>5346.56</v>
      </c>
      <c r="E1725" s="8">
        <f t="shared" si="17"/>
        <v>-0.01838183995</v>
      </c>
      <c r="F1725" s="53">
        <v>4.884580909</v>
      </c>
      <c r="G1725" s="8">
        <f t="shared" si="16"/>
        <v>0.0001338241345</v>
      </c>
      <c r="H1725" s="8">
        <f t="shared" si="11"/>
        <v>5346.56</v>
      </c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</row>
    <row r="1726">
      <c r="A1726" s="54">
        <f t="shared" si="12"/>
        <v>45507</v>
      </c>
      <c r="B1726" s="8">
        <f t="shared" si="13"/>
        <v>1009081490</v>
      </c>
      <c r="C1726" s="8">
        <f t="shared" si="14"/>
        <v>0.0005178082192</v>
      </c>
      <c r="D1726" s="8">
        <v>5346.56</v>
      </c>
      <c r="E1726" s="8">
        <f t="shared" si="17"/>
        <v>0</v>
      </c>
      <c r="F1726" s="53">
        <v>4.852091875</v>
      </c>
      <c r="G1726" s="8">
        <f t="shared" si="16"/>
        <v>0.000132934024</v>
      </c>
      <c r="H1726" s="8">
        <f t="shared" si="11"/>
        <v>5346.56</v>
      </c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</row>
    <row r="1727">
      <c r="A1727" s="54">
        <f t="shared" si="12"/>
        <v>45508</v>
      </c>
      <c r="B1727" s="8">
        <f t="shared" si="13"/>
        <v>1009604001</v>
      </c>
      <c r="C1727" s="8">
        <f t="shared" si="14"/>
        <v>0.0005178082192</v>
      </c>
      <c r="D1727" s="8">
        <v>5346.56</v>
      </c>
      <c r="E1727" s="8">
        <f t="shared" si="17"/>
        <v>0</v>
      </c>
      <c r="F1727" s="53">
        <v>4.912663476</v>
      </c>
      <c r="G1727" s="8">
        <f t="shared" si="16"/>
        <v>0.0001345935199</v>
      </c>
      <c r="H1727" s="8">
        <f t="shared" si="11"/>
        <v>5346.56</v>
      </c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</row>
    <row r="1728">
      <c r="A1728" s="54">
        <f t="shared" si="12"/>
        <v>45509</v>
      </c>
      <c r="B1728" s="8">
        <f t="shared" si="13"/>
        <v>1010126782</v>
      </c>
      <c r="C1728" s="8">
        <f t="shared" si="14"/>
        <v>0.0005178082192</v>
      </c>
      <c r="D1728" s="8">
        <v>5186.33</v>
      </c>
      <c r="E1728" s="8">
        <f t="shared" si="17"/>
        <v>-0.02996880237</v>
      </c>
      <c r="F1728" s="53">
        <v>4.991130398</v>
      </c>
      <c r="G1728" s="8">
        <f t="shared" si="16"/>
        <v>0.0001367432986</v>
      </c>
      <c r="H1728" s="8">
        <f t="shared" si="11"/>
        <v>5186.33</v>
      </c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</row>
    <row r="1729">
      <c r="A1729" s="54">
        <f t="shared" si="12"/>
        <v>45510</v>
      </c>
      <c r="B1729" s="8">
        <f t="shared" si="13"/>
        <v>1010649834</v>
      </c>
      <c r="C1729" s="8">
        <f t="shared" si="14"/>
        <v>0.0005178082192</v>
      </c>
      <c r="D1729" s="8">
        <v>5240.03</v>
      </c>
      <c r="E1729" s="8">
        <f t="shared" si="17"/>
        <v>0.01035414252</v>
      </c>
      <c r="F1729" s="53">
        <v>4.905225493</v>
      </c>
      <c r="G1729" s="8">
        <f t="shared" si="16"/>
        <v>0.0001343897395</v>
      </c>
      <c r="H1729" s="8">
        <f t="shared" si="11"/>
        <v>5240.03</v>
      </c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</row>
    <row r="1730">
      <c r="A1730" s="54">
        <f t="shared" si="12"/>
        <v>45511</v>
      </c>
      <c r="B1730" s="8">
        <f t="shared" si="13"/>
        <v>1011173157</v>
      </c>
      <c r="C1730" s="8">
        <f t="shared" si="14"/>
        <v>0.0005178082192</v>
      </c>
      <c r="D1730" s="8">
        <v>5199.5</v>
      </c>
      <c r="E1730" s="8">
        <f t="shared" si="17"/>
        <v>-0.007734688542</v>
      </c>
      <c r="F1730" s="53">
        <v>4.86252548</v>
      </c>
      <c r="G1730" s="8">
        <f t="shared" si="16"/>
        <v>0.0001332198762</v>
      </c>
      <c r="H1730" s="8">
        <f t="shared" si="11"/>
        <v>5199.5</v>
      </c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</row>
    <row r="1731">
      <c r="A1731" s="54">
        <f t="shared" si="12"/>
        <v>45512</v>
      </c>
      <c r="B1731" s="8">
        <f t="shared" si="13"/>
        <v>1011696750</v>
      </c>
      <c r="C1731" s="8">
        <f t="shared" si="14"/>
        <v>0.0005178082192</v>
      </c>
      <c r="D1731" s="8">
        <v>5319.31</v>
      </c>
      <c r="E1731" s="8">
        <f t="shared" si="17"/>
        <v>0.02304260025</v>
      </c>
      <c r="F1731" s="53">
        <v>4.87764973</v>
      </c>
      <c r="G1731" s="8">
        <f t="shared" si="16"/>
        <v>0.0001336342392</v>
      </c>
      <c r="H1731" s="8">
        <f t="shared" si="11"/>
        <v>5319.31</v>
      </c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</row>
    <row r="1732">
      <c r="A1732" s="54">
        <f t="shared" si="12"/>
        <v>45513</v>
      </c>
      <c r="B1732" s="8">
        <f t="shared" si="13"/>
        <v>1012220615</v>
      </c>
      <c r="C1732" s="8">
        <f t="shared" si="14"/>
        <v>0.0005178082192</v>
      </c>
      <c r="D1732" s="8">
        <v>5344.16</v>
      </c>
      <c r="E1732" s="8">
        <f t="shared" si="17"/>
        <v>0.004671658542</v>
      </c>
      <c r="F1732" s="53">
        <v>4.86486501</v>
      </c>
      <c r="G1732" s="8">
        <f t="shared" si="16"/>
        <v>0.0001332839729</v>
      </c>
      <c r="H1732" s="8">
        <f t="shared" si="11"/>
        <v>5344.16</v>
      </c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</row>
    <row r="1733">
      <c r="A1733" s="54">
        <f t="shared" si="12"/>
        <v>45514</v>
      </c>
      <c r="B1733" s="8">
        <f t="shared" si="13"/>
        <v>1012744751</v>
      </c>
      <c r="C1733" s="8">
        <f t="shared" si="14"/>
        <v>0.0005178082192</v>
      </c>
      <c r="D1733" s="8">
        <v>5344.16</v>
      </c>
      <c r="E1733" s="8">
        <f t="shared" si="17"/>
        <v>0</v>
      </c>
      <c r="F1733" s="53">
        <v>4.9227292</v>
      </c>
      <c r="G1733" s="8">
        <f t="shared" si="16"/>
        <v>0.0001348692932</v>
      </c>
      <c r="H1733" s="8">
        <f t="shared" si="11"/>
        <v>5344.16</v>
      </c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</row>
    <row r="1734">
      <c r="A1734" s="54">
        <f t="shared" si="12"/>
        <v>45515</v>
      </c>
      <c r="B1734" s="8">
        <f t="shared" si="13"/>
        <v>1013269159</v>
      </c>
      <c r="C1734" s="8">
        <f t="shared" si="14"/>
        <v>0.0005178082192</v>
      </c>
      <c r="D1734" s="8">
        <v>5344.16</v>
      </c>
      <c r="E1734" s="8">
        <f t="shared" si="17"/>
        <v>0</v>
      </c>
      <c r="F1734" s="53">
        <v>4.936281193</v>
      </c>
      <c r="G1734" s="8">
        <f t="shared" si="16"/>
        <v>0.0001352405806</v>
      </c>
      <c r="H1734" s="8">
        <f t="shared" si="11"/>
        <v>5344.16</v>
      </c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</row>
    <row r="1735">
      <c r="A1735" s="54">
        <f t="shared" si="12"/>
        <v>45516</v>
      </c>
      <c r="B1735" s="8">
        <f t="shared" si="13"/>
        <v>1013793838</v>
      </c>
      <c r="C1735" s="8">
        <f t="shared" si="14"/>
        <v>0.0005178082192</v>
      </c>
      <c r="D1735" s="8">
        <v>5344.39</v>
      </c>
      <c r="E1735" s="8">
        <f t="shared" si="17"/>
        <v>0.0000430376336</v>
      </c>
      <c r="F1735" s="53">
        <v>4.950412533</v>
      </c>
      <c r="G1735" s="8">
        <f t="shared" si="16"/>
        <v>0.0001356277406</v>
      </c>
      <c r="H1735" s="8">
        <f t="shared" si="11"/>
        <v>5344.39</v>
      </c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</row>
    <row r="1736">
      <c r="A1736" s="54">
        <f t="shared" si="12"/>
        <v>45517</v>
      </c>
      <c r="B1736" s="8">
        <f t="shared" si="13"/>
        <v>1014318789</v>
      </c>
      <c r="C1736" s="8">
        <f t="shared" si="14"/>
        <v>0.0005178082192</v>
      </c>
      <c r="D1736" s="8">
        <v>5434.43</v>
      </c>
      <c r="E1736" s="8">
        <f t="shared" si="17"/>
        <v>0.01684757288</v>
      </c>
      <c r="F1736" s="53">
        <v>4.955166976</v>
      </c>
      <c r="G1736" s="8">
        <f t="shared" si="16"/>
        <v>0.0001357579993</v>
      </c>
      <c r="H1736" s="8">
        <f t="shared" si="11"/>
        <v>5434.43</v>
      </c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</row>
    <row r="1737">
      <c r="A1737" s="54">
        <f t="shared" si="12"/>
        <v>45518</v>
      </c>
      <c r="B1737" s="8">
        <f t="shared" si="13"/>
        <v>1014844012</v>
      </c>
      <c r="C1737" s="8">
        <f t="shared" si="14"/>
        <v>0.0005178082192</v>
      </c>
      <c r="D1737" s="8">
        <v>5455.21</v>
      </c>
      <c r="E1737" s="8">
        <f t="shared" si="17"/>
        <v>0.003823768086</v>
      </c>
      <c r="F1737" s="53">
        <v>4.862692472</v>
      </c>
      <c r="G1737" s="8">
        <f t="shared" si="16"/>
        <v>0.0001332244513</v>
      </c>
      <c r="H1737" s="8">
        <f t="shared" si="11"/>
        <v>5455.21</v>
      </c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</row>
    <row r="1738">
      <c r="A1738" s="54">
        <f t="shared" si="12"/>
        <v>45519</v>
      </c>
      <c r="B1738" s="8">
        <f t="shared" si="13"/>
        <v>1015369506</v>
      </c>
      <c r="C1738" s="8">
        <f t="shared" si="14"/>
        <v>0.0005178082192</v>
      </c>
      <c r="D1738" s="8">
        <v>5543.22</v>
      </c>
      <c r="E1738" s="8">
        <f t="shared" si="17"/>
        <v>0.0161332011</v>
      </c>
      <c r="F1738" s="53">
        <v>4.787808896</v>
      </c>
      <c r="G1738" s="8">
        <f t="shared" si="16"/>
        <v>0.0001311728465</v>
      </c>
      <c r="H1738" s="8">
        <f t="shared" si="11"/>
        <v>5543.22</v>
      </c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</row>
    <row r="1739">
      <c r="A1739" s="54">
        <f t="shared" si="12"/>
        <v>45520</v>
      </c>
      <c r="B1739" s="8">
        <f t="shared" si="13"/>
        <v>1015895273</v>
      </c>
      <c r="C1739" s="8">
        <f t="shared" si="14"/>
        <v>0.0005178082192</v>
      </c>
      <c r="D1739" s="8">
        <v>5554.25</v>
      </c>
      <c r="E1739" s="8">
        <f t="shared" si="17"/>
        <v>0.001989818192</v>
      </c>
      <c r="F1739" s="53">
        <v>4.938540831</v>
      </c>
      <c r="G1739" s="8">
        <f t="shared" si="16"/>
        <v>0.0001353024885</v>
      </c>
      <c r="H1739" s="8">
        <f t="shared" si="11"/>
        <v>5554.25</v>
      </c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</row>
    <row r="1740">
      <c r="A1740" s="54">
        <f t="shared" si="12"/>
        <v>45521</v>
      </c>
      <c r="B1740" s="8">
        <f t="shared" si="13"/>
        <v>1016421312</v>
      </c>
      <c r="C1740" s="8">
        <f t="shared" si="14"/>
        <v>0.0005178082192</v>
      </c>
      <c r="D1740" s="8">
        <v>5554.25</v>
      </c>
      <c r="E1740" s="8">
        <f t="shared" si="17"/>
        <v>0</v>
      </c>
      <c r="F1740" s="53">
        <v>5.010231004</v>
      </c>
      <c r="G1740" s="8">
        <f t="shared" si="16"/>
        <v>0.0001372666028</v>
      </c>
      <c r="H1740" s="8">
        <f t="shared" si="11"/>
        <v>5554.25</v>
      </c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</row>
    <row r="1741">
      <c r="A1741" s="54">
        <f t="shared" si="12"/>
        <v>45522</v>
      </c>
      <c r="B1741" s="8">
        <f t="shared" si="13"/>
        <v>1016947623</v>
      </c>
      <c r="C1741" s="8">
        <f t="shared" si="14"/>
        <v>0.0005178082192</v>
      </c>
      <c r="D1741" s="8">
        <v>5554.25</v>
      </c>
      <c r="E1741" s="8">
        <f t="shared" si="17"/>
        <v>0</v>
      </c>
      <c r="F1741" s="53">
        <v>4.995520817</v>
      </c>
      <c r="G1741" s="8">
        <f t="shared" si="16"/>
        <v>0.000136863584</v>
      </c>
      <c r="H1741" s="8">
        <f t="shared" si="11"/>
        <v>5554.25</v>
      </c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</row>
    <row r="1742">
      <c r="A1742" s="54">
        <f t="shared" si="12"/>
        <v>45523</v>
      </c>
      <c r="B1742" s="8">
        <f t="shared" si="13"/>
        <v>1017474207</v>
      </c>
      <c r="C1742" s="8">
        <f t="shared" si="14"/>
        <v>0.0005178082192</v>
      </c>
      <c r="D1742" s="8">
        <v>5608.25</v>
      </c>
      <c r="E1742" s="8">
        <f t="shared" si="17"/>
        <v>0.009722284737</v>
      </c>
      <c r="F1742" s="53">
        <v>4.848552127</v>
      </c>
      <c r="G1742" s="8">
        <f t="shared" si="16"/>
        <v>0.0001328370446</v>
      </c>
      <c r="H1742" s="8">
        <f t="shared" si="11"/>
        <v>5608.25</v>
      </c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</row>
    <row r="1743">
      <c r="A1743" s="54">
        <f t="shared" si="12"/>
        <v>45524</v>
      </c>
      <c r="B1743" s="8">
        <f t="shared" si="13"/>
        <v>1018001063</v>
      </c>
      <c r="C1743" s="8">
        <f t="shared" si="14"/>
        <v>0.0005178082192</v>
      </c>
      <c r="D1743" s="8">
        <v>5597.12</v>
      </c>
      <c r="E1743" s="8">
        <f t="shared" si="17"/>
        <v>-0.001984576294</v>
      </c>
      <c r="F1743" s="53">
        <v>4.879412113</v>
      </c>
      <c r="G1743" s="8">
        <f t="shared" si="16"/>
        <v>0.0001336825236</v>
      </c>
      <c r="H1743" s="8">
        <f t="shared" si="11"/>
        <v>5597.12</v>
      </c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</row>
    <row r="1744">
      <c r="A1744" s="54">
        <f t="shared" si="12"/>
        <v>45525</v>
      </c>
      <c r="B1744" s="8">
        <f t="shared" si="13"/>
        <v>1018528193</v>
      </c>
      <c r="C1744" s="8">
        <f t="shared" si="14"/>
        <v>0.0005178082192</v>
      </c>
      <c r="D1744" s="8">
        <v>5620.85</v>
      </c>
      <c r="E1744" s="8">
        <f t="shared" si="17"/>
        <v>0.004239680407</v>
      </c>
      <c r="F1744" s="53">
        <v>4.863770779</v>
      </c>
      <c r="G1744" s="8">
        <f t="shared" si="16"/>
        <v>0.0001332539939</v>
      </c>
      <c r="H1744" s="8">
        <f t="shared" si="11"/>
        <v>5620.85</v>
      </c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</row>
    <row r="1745">
      <c r="A1745" s="54">
        <f t="shared" si="12"/>
        <v>45526</v>
      </c>
      <c r="B1745" s="8">
        <f t="shared" si="13"/>
        <v>1019055595</v>
      </c>
      <c r="C1745" s="8">
        <f t="shared" si="14"/>
        <v>0.0005178082192</v>
      </c>
      <c r="D1745" s="8">
        <v>5570.64</v>
      </c>
      <c r="E1745" s="8">
        <f t="shared" si="17"/>
        <v>-0.008932812653</v>
      </c>
      <c r="F1745" s="53">
        <v>4.866160911</v>
      </c>
      <c r="G1745" s="8">
        <f t="shared" si="16"/>
        <v>0.000133319477</v>
      </c>
      <c r="H1745" s="8">
        <f t="shared" si="11"/>
        <v>5570.64</v>
      </c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</row>
    <row r="1746">
      <c r="A1746" s="54">
        <f t="shared" si="12"/>
        <v>45527</v>
      </c>
      <c r="B1746" s="8">
        <f t="shared" si="13"/>
        <v>1019583270</v>
      </c>
      <c r="C1746" s="8">
        <f t="shared" si="14"/>
        <v>0.0005178082192</v>
      </c>
      <c r="D1746" s="8">
        <v>5634.61</v>
      </c>
      <c r="E1746" s="8">
        <f t="shared" si="17"/>
        <v>0.01148342022</v>
      </c>
      <c r="F1746" s="53">
        <v>4.925370633</v>
      </c>
      <c r="G1746" s="8">
        <f t="shared" si="16"/>
        <v>0.0001349416612</v>
      </c>
      <c r="H1746" s="8">
        <f t="shared" si="11"/>
        <v>5634.61</v>
      </c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</row>
    <row r="1747">
      <c r="A1747" s="54">
        <f t="shared" si="12"/>
        <v>45528</v>
      </c>
      <c r="B1747" s="8">
        <f t="shared" si="13"/>
        <v>1020111219</v>
      </c>
      <c r="C1747" s="8">
        <f t="shared" si="14"/>
        <v>0.0005178082192</v>
      </c>
      <c r="D1747" s="8">
        <v>5634.61</v>
      </c>
      <c r="E1747" s="8">
        <f t="shared" si="17"/>
        <v>0</v>
      </c>
      <c r="F1747" s="53">
        <v>4.939417307</v>
      </c>
      <c r="G1747" s="8">
        <f t="shared" si="16"/>
        <v>0.0001353265016</v>
      </c>
      <c r="H1747" s="8">
        <f t="shared" si="11"/>
        <v>5634.61</v>
      </c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</row>
    <row r="1748">
      <c r="A1748" s="54">
        <f t="shared" si="12"/>
        <v>45529</v>
      </c>
      <c r="B1748" s="8">
        <f t="shared" si="13"/>
        <v>1020639441</v>
      </c>
      <c r="C1748" s="8">
        <f t="shared" si="14"/>
        <v>0.0005178082192</v>
      </c>
      <c r="D1748" s="8">
        <v>5634.61</v>
      </c>
      <c r="E1748" s="8">
        <f t="shared" si="17"/>
        <v>0</v>
      </c>
      <c r="F1748" s="53">
        <v>4.924047189</v>
      </c>
      <c r="G1748" s="8">
        <f t="shared" si="16"/>
        <v>0.0001349054024</v>
      </c>
      <c r="H1748" s="8">
        <f t="shared" si="11"/>
        <v>5634.61</v>
      </c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</row>
    <row r="1749">
      <c r="A1749" s="54">
        <f t="shared" si="12"/>
        <v>45530</v>
      </c>
      <c r="B1749" s="8">
        <f t="shared" si="13"/>
        <v>1021167936</v>
      </c>
      <c r="C1749" s="8">
        <f t="shared" si="14"/>
        <v>0.0005178082192</v>
      </c>
      <c r="D1749" s="8">
        <v>5616.84</v>
      </c>
      <c r="E1749" s="8">
        <f t="shared" si="17"/>
        <v>-0.00315372315</v>
      </c>
      <c r="F1749" s="53">
        <v>4.915837404</v>
      </c>
      <c r="G1749" s="8">
        <f t="shared" si="16"/>
        <v>0.0001346804768</v>
      </c>
      <c r="H1749" s="8">
        <f t="shared" si="11"/>
        <v>5616.84</v>
      </c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</row>
    <row r="1750">
      <c r="A1750" s="54">
        <f t="shared" si="12"/>
        <v>45531</v>
      </c>
      <c r="B1750" s="8">
        <f t="shared" si="13"/>
        <v>1021696706</v>
      </c>
      <c r="C1750" s="8">
        <f t="shared" si="14"/>
        <v>0.0005178082192</v>
      </c>
      <c r="D1750" s="8">
        <v>5625.8</v>
      </c>
      <c r="E1750" s="8">
        <f t="shared" si="17"/>
        <v>0.001595202997</v>
      </c>
      <c r="F1750" s="53">
        <v>4.933387347</v>
      </c>
      <c r="G1750" s="8">
        <f t="shared" si="16"/>
        <v>0.0001351612972</v>
      </c>
      <c r="H1750" s="8">
        <f t="shared" si="11"/>
        <v>5625.8</v>
      </c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</row>
    <row r="1751">
      <c r="A1751" s="54">
        <f t="shared" si="12"/>
        <v>45532</v>
      </c>
      <c r="B1751" s="8">
        <f t="shared" si="13"/>
        <v>1022225748</v>
      </c>
      <c r="C1751" s="8">
        <f t="shared" si="14"/>
        <v>0.0005178082192</v>
      </c>
      <c r="D1751" s="8">
        <v>5592.18</v>
      </c>
      <c r="E1751" s="8">
        <f t="shared" si="17"/>
        <v>-0.005976038963</v>
      </c>
      <c r="F1751" s="53">
        <v>4.865995133</v>
      </c>
      <c r="G1751" s="8">
        <f t="shared" si="16"/>
        <v>0.0001333149352</v>
      </c>
      <c r="H1751" s="8">
        <f t="shared" si="11"/>
        <v>5592.18</v>
      </c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</row>
    <row r="1752">
      <c r="A1752" s="54">
        <f t="shared" si="12"/>
        <v>45533</v>
      </c>
      <c r="B1752" s="8">
        <f t="shared" si="13"/>
        <v>1022755065</v>
      </c>
      <c r="C1752" s="8">
        <f t="shared" si="14"/>
        <v>0.0005178082192</v>
      </c>
      <c r="D1752" s="8">
        <v>5591.96</v>
      </c>
      <c r="E1752" s="8">
        <f t="shared" si="17"/>
        <v>-0.00003934065069</v>
      </c>
      <c r="F1752" s="53">
        <v>4.815606901</v>
      </c>
      <c r="G1752" s="8">
        <f t="shared" si="16"/>
        <v>0.0001319344356</v>
      </c>
      <c r="H1752" s="8">
        <f t="shared" si="11"/>
        <v>5591.96</v>
      </c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</row>
    <row r="1753">
      <c r="A1753" s="54">
        <f t="shared" si="12"/>
        <v>45534</v>
      </c>
      <c r="B1753" s="8">
        <f t="shared" si="13"/>
        <v>1023284656</v>
      </c>
      <c r="C1753" s="8">
        <f t="shared" si="14"/>
        <v>0.0005178082192</v>
      </c>
      <c r="D1753" s="8">
        <v>5648.4</v>
      </c>
      <c r="E1753" s="8">
        <f t="shared" si="17"/>
        <v>0.01009306218</v>
      </c>
      <c r="F1753" s="53">
        <v>4.968330239</v>
      </c>
      <c r="G1753" s="8">
        <f t="shared" si="16"/>
        <v>0.0001361186367</v>
      </c>
      <c r="H1753" s="8">
        <f t="shared" si="11"/>
        <v>5648.4</v>
      </c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</row>
    <row r="1754">
      <c r="A1754" s="54">
        <f t="shared" si="12"/>
        <v>45535</v>
      </c>
      <c r="B1754" s="8">
        <f t="shared" si="13"/>
        <v>1023814522</v>
      </c>
      <c r="C1754" s="8">
        <f t="shared" si="14"/>
        <v>0.0005178082192</v>
      </c>
      <c r="D1754" s="8">
        <v>5648.4</v>
      </c>
      <c r="E1754" s="8">
        <f t="shared" si="17"/>
        <v>0</v>
      </c>
      <c r="F1754" s="53">
        <v>4.88086398</v>
      </c>
      <c r="G1754" s="8">
        <f t="shared" si="16"/>
        <v>0.0001337223008</v>
      </c>
      <c r="H1754" s="8">
        <f t="shared" si="11"/>
        <v>5648.4</v>
      </c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</row>
    <row r="1755">
      <c r="A1755" s="54">
        <f t="shared" si="12"/>
        <v>45536</v>
      </c>
      <c r="B1755" s="8">
        <f t="shared" si="13"/>
        <v>1024344661</v>
      </c>
      <c r="C1755" s="8">
        <f t="shared" si="14"/>
        <v>0.0005178082192</v>
      </c>
      <c r="D1755" s="8">
        <v>5648.4</v>
      </c>
      <c r="E1755" s="8">
        <f t="shared" si="17"/>
        <v>0</v>
      </c>
      <c r="F1755" s="53">
        <v>4.838436874</v>
      </c>
      <c r="G1755" s="8">
        <f t="shared" si="16"/>
        <v>0.0001325599144</v>
      </c>
      <c r="H1755" s="8">
        <f t="shared" si="11"/>
        <v>5648.4</v>
      </c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</row>
    <row r="1756">
      <c r="A1756" s="54">
        <f t="shared" si="12"/>
        <v>45537</v>
      </c>
      <c r="B1756" s="8">
        <f t="shared" si="13"/>
        <v>1024875075</v>
      </c>
      <c r="C1756" s="8">
        <f t="shared" si="14"/>
        <v>0.0005178082192</v>
      </c>
      <c r="D1756" s="8">
        <v>5648.4</v>
      </c>
      <c r="E1756" s="8">
        <f t="shared" si="17"/>
        <v>0</v>
      </c>
      <c r="F1756" s="53">
        <v>4.894594198</v>
      </c>
      <c r="G1756" s="8">
        <f t="shared" si="16"/>
        <v>0.0001340984712</v>
      </c>
      <c r="H1756" s="8">
        <f t="shared" si="11"/>
        <v>5648.4</v>
      </c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</row>
    <row r="1757">
      <c r="A1757" s="54">
        <f t="shared" si="12"/>
        <v>45538</v>
      </c>
      <c r="B1757" s="8">
        <f t="shared" si="13"/>
        <v>1025405764</v>
      </c>
      <c r="C1757" s="8">
        <f t="shared" si="14"/>
        <v>0.0005178082192</v>
      </c>
      <c r="D1757" s="8">
        <v>5528.93</v>
      </c>
      <c r="E1757" s="8">
        <f t="shared" si="17"/>
        <v>-0.02115112244</v>
      </c>
      <c r="F1757" s="53">
        <v>4.835176407</v>
      </c>
      <c r="G1757" s="8">
        <f t="shared" si="16"/>
        <v>0.0001324705865</v>
      </c>
      <c r="H1757" s="8">
        <f t="shared" si="11"/>
        <v>5528.93</v>
      </c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</row>
    <row r="1758">
      <c r="A1758" s="54">
        <f t="shared" si="12"/>
        <v>45539</v>
      </c>
      <c r="B1758" s="8">
        <f t="shared" si="13"/>
        <v>1025936727</v>
      </c>
      <c r="C1758" s="8">
        <f t="shared" si="14"/>
        <v>0.0005178082192</v>
      </c>
      <c r="D1758" s="8">
        <v>5520.07</v>
      </c>
      <c r="E1758" s="8">
        <f t="shared" si="17"/>
        <v>-0.001602480046</v>
      </c>
      <c r="F1758" s="53">
        <v>4.869984861</v>
      </c>
      <c r="G1758" s="8">
        <f t="shared" si="16"/>
        <v>0.0001334242428</v>
      </c>
      <c r="H1758" s="8">
        <f t="shared" si="11"/>
        <v>5520.07</v>
      </c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</row>
    <row r="1759">
      <c r="A1759" s="54">
        <f t="shared" si="12"/>
        <v>45540</v>
      </c>
      <c r="B1759" s="8">
        <f t="shared" si="13"/>
        <v>1026467966</v>
      </c>
      <c r="C1759" s="8">
        <f t="shared" si="14"/>
        <v>0.0005178082192</v>
      </c>
      <c r="D1759" s="8">
        <v>5503.41</v>
      </c>
      <c r="E1759" s="8">
        <f t="shared" si="17"/>
        <v>-0.003018077669</v>
      </c>
      <c r="F1759" s="53">
        <v>4.834207881</v>
      </c>
      <c r="G1759" s="8">
        <f t="shared" si="16"/>
        <v>0.0001324440515</v>
      </c>
      <c r="H1759" s="8">
        <f t="shared" si="11"/>
        <v>5503.41</v>
      </c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</row>
    <row r="1760">
      <c r="A1760" s="54">
        <f t="shared" si="12"/>
        <v>45541</v>
      </c>
      <c r="B1760" s="8">
        <f t="shared" si="13"/>
        <v>1026999479</v>
      </c>
      <c r="C1760" s="8">
        <f t="shared" si="14"/>
        <v>0.0005178082192</v>
      </c>
      <c r="D1760" s="8">
        <v>5408.42</v>
      </c>
      <c r="E1760" s="8">
        <f t="shared" si="17"/>
        <v>-0.01726020776</v>
      </c>
      <c r="F1760" s="53">
        <v>4.877568787</v>
      </c>
      <c r="G1760" s="8">
        <f t="shared" si="16"/>
        <v>0.0001336320216</v>
      </c>
      <c r="H1760" s="8">
        <f t="shared" si="11"/>
        <v>5408.42</v>
      </c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</row>
    <row r="1761">
      <c r="A1761" s="54">
        <f t="shared" si="12"/>
        <v>45542</v>
      </c>
      <c r="B1761" s="8">
        <f t="shared" si="13"/>
        <v>1027531268</v>
      </c>
      <c r="C1761" s="8">
        <f t="shared" si="14"/>
        <v>0.0005178082192</v>
      </c>
      <c r="D1761" s="8">
        <v>5408.42</v>
      </c>
      <c r="E1761" s="8">
        <f t="shared" si="17"/>
        <v>0</v>
      </c>
      <c r="F1761" s="53">
        <v>4.875030174</v>
      </c>
      <c r="G1761" s="8">
        <f t="shared" si="16"/>
        <v>0.0001335624705</v>
      </c>
      <c r="H1761" s="8">
        <f t="shared" si="11"/>
        <v>5408.42</v>
      </c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</row>
    <row r="1762">
      <c r="A1762" s="54">
        <f t="shared" si="12"/>
        <v>45543</v>
      </c>
      <c r="B1762" s="8">
        <f t="shared" si="13"/>
        <v>1028063332</v>
      </c>
      <c r="C1762" s="8">
        <f t="shared" si="14"/>
        <v>0.0005178082192</v>
      </c>
      <c r="D1762" s="8">
        <v>5408.42</v>
      </c>
      <c r="E1762" s="8">
        <f t="shared" si="17"/>
        <v>0</v>
      </c>
      <c r="F1762" s="53">
        <v>4.945752295</v>
      </c>
      <c r="G1762" s="8">
        <f t="shared" si="16"/>
        <v>0.0001355000629</v>
      </c>
      <c r="H1762" s="8">
        <f t="shared" si="11"/>
        <v>5408.42</v>
      </c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</row>
    <row r="1763">
      <c r="A1763" s="54">
        <f t="shared" si="12"/>
        <v>45544</v>
      </c>
      <c r="B1763" s="8">
        <f t="shared" si="13"/>
        <v>1028595672</v>
      </c>
      <c r="C1763" s="8">
        <f t="shared" si="14"/>
        <v>0.0005178082192</v>
      </c>
      <c r="D1763" s="8">
        <v>5471.05</v>
      </c>
      <c r="E1763" s="8">
        <f t="shared" si="17"/>
        <v>0.01158009178</v>
      </c>
      <c r="F1763" s="53">
        <v>4.968007579</v>
      </c>
      <c r="G1763" s="8">
        <f t="shared" si="16"/>
        <v>0.0001361097967</v>
      </c>
      <c r="H1763" s="8">
        <f t="shared" si="11"/>
        <v>5471.05</v>
      </c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</row>
    <row r="1764">
      <c r="A1764" s="54">
        <f t="shared" si="12"/>
        <v>45545</v>
      </c>
      <c r="B1764" s="8">
        <f t="shared" si="13"/>
        <v>1029128287</v>
      </c>
      <c r="C1764" s="8">
        <f t="shared" si="14"/>
        <v>0.0005178082192</v>
      </c>
      <c r="D1764" s="8">
        <v>5495.52</v>
      </c>
      <c r="E1764" s="8">
        <f t="shared" si="17"/>
        <v>0.004472633224</v>
      </c>
      <c r="F1764" s="53">
        <v>4.952886018</v>
      </c>
      <c r="G1764" s="8">
        <f t="shared" si="16"/>
        <v>0.0001356955073</v>
      </c>
      <c r="H1764" s="8">
        <f t="shared" si="11"/>
        <v>5495.52</v>
      </c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</row>
    <row r="1765">
      <c r="A1765" s="54">
        <f t="shared" si="12"/>
        <v>45546</v>
      </c>
      <c r="B1765" s="8">
        <f t="shared" si="13"/>
        <v>1029661178</v>
      </c>
      <c r="C1765" s="8">
        <f t="shared" si="14"/>
        <v>0.0005178082192</v>
      </c>
      <c r="D1765" s="8">
        <v>5554.13</v>
      </c>
      <c r="E1765" s="8">
        <f t="shared" si="17"/>
        <v>0.01066505081</v>
      </c>
      <c r="F1765" s="53">
        <v>4.967947059</v>
      </c>
      <c r="G1765" s="8">
        <f t="shared" si="16"/>
        <v>0.0001361081386</v>
      </c>
      <c r="H1765" s="8">
        <f t="shared" si="11"/>
        <v>5554.13</v>
      </c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</row>
    <row r="1766">
      <c r="A1766" s="54">
        <f t="shared" si="12"/>
        <v>45547</v>
      </c>
      <c r="B1766" s="8">
        <f t="shared" si="13"/>
        <v>1030194345</v>
      </c>
      <c r="C1766" s="8">
        <f t="shared" si="14"/>
        <v>0.0005178082192</v>
      </c>
      <c r="D1766" s="8">
        <v>5595.76</v>
      </c>
      <c r="E1766" s="8">
        <f t="shared" si="17"/>
        <v>0.0074953233</v>
      </c>
      <c r="F1766" s="53">
        <v>4.879826766</v>
      </c>
      <c r="G1766" s="8">
        <f t="shared" si="16"/>
        <v>0.000133693884</v>
      </c>
      <c r="H1766" s="8">
        <f t="shared" si="11"/>
        <v>5595.76</v>
      </c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</row>
    <row r="1767">
      <c r="A1767" s="54">
        <f t="shared" si="12"/>
        <v>45548</v>
      </c>
      <c r="B1767" s="8">
        <f t="shared" si="13"/>
        <v>1030727789</v>
      </c>
      <c r="C1767" s="8">
        <f t="shared" si="14"/>
        <v>0.0005178082192</v>
      </c>
      <c r="D1767" s="8">
        <v>5626.02</v>
      </c>
      <c r="E1767" s="8">
        <f t="shared" si="17"/>
        <v>0.005407665804</v>
      </c>
      <c r="F1767" s="53">
        <v>4.884865031</v>
      </c>
      <c r="G1767" s="8">
        <f t="shared" si="16"/>
        <v>0.0001338319187</v>
      </c>
      <c r="H1767" s="8">
        <f t="shared" si="11"/>
        <v>5626.02</v>
      </c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</row>
    <row r="1768">
      <c r="A1768" s="54">
        <f t="shared" si="12"/>
        <v>45549</v>
      </c>
      <c r="B1768" s="8">
        <f t="shared" si="13"/>
        <v>1031261508</v>
      </c>
      <c r="C1768" s="8">
        <f t="shared" si="14"/>
        <v>0.0005178082192</v>
      </c>
      <c r="D1768" s="8">
        <v>5626.02</v>
      </c>
      <c r="E1768" s="8">
        <f t="shared" si="17"/>
        <v>0</v>
      </c>
      <c r="F1768" s="53">
        <v>4.856231946</v>
      </c>
      <c r="G1768" s="8">
        <f t="shared" si="16"/>
        <v>0.0001330474506</v>
      </c>
      <c r="H1768" s="8">
        <f t="shared" si="11"/>
        <v>5626.02</v>
      </c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</row>
    <row r="1769">
      <c r="A1769" s="54">
        <f t="shared" si="12"/>
        <v>45550</v>
      </c>
      <c r="B1769" s="8">
        <f t="shared" si="13"/>
        <v>1031795504</v>
      </c>
      <c r="C1769" s="8">
        <f t="shared" si="14"/>
        <v>0.0005178082192</v>
      </c>
      <c r="D1769" s="8">
        <v>5626.02</v>
      </c>
      <c r="E1769" s="8">
        <f t="shared" si="17"/>
        <v>0</v>
      </c>
      <c r="F1769" s="53">
        <v>4.796648449</v>
      </c>
      <c r="G1769" s="8">
        <f t="shared" si="16"/>
        <v>0.000131415026</v>
      </c>
      <c r="H1769" s="8">
        <f t="shared" si="11"/>
        <v>5626.02</v>
      </c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</row>
    <row r="1770">
      <c r="A1770" s="54">
        <f t="shared" si="12"/>
        <v>45551</v>
      </c>
      <c r="B1770" s="8">
        <f t="shared" si="13"/>
        <v>1032329776</v>
      </c>
      <c r="C1770" s="8">
        <f t="shared" si="14"/>
        <v>0.0005178082192</v>
      </c>
      <c r="D1770" s="8">
        <v>5633.09</v>
      </c>
      <c r="E1770" s="8">
        <f t="shared" si="17"/>
        <v>0.001256661014</v>
      </c>
      <c r="F1770" s="53">
        <v>4.872648743</v>
      </c>
      <c r="G1770" s="8">
        <f t="shared" si="16"/>
        <v>0.0001334972258</v>
      </c>
      <c r="H1770" s="8">
        <f t="shared" si="11"/>
        <v>5633.09</v>
      </c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</row>
    <row r="1771">
      <c r="A1771" s="54">
        <f t="shared" si="12"/>
        <v>45552</v>
      </c>
      <c r="B1771" s="8">
        <f t="shared" si="13"/>
        <v>1032864325</v>
      </c>
      <c r="C1771" s="8">
        <f t="shared" si="14"/>
        <v>0.0005178082192</v>
      </c>
      <c r="D1771" s="8">
        <v>5634.58</v>
      </c>
      <c r="E1771" s="8">
        <f t="shared" si="17"/>
        <v>0.0002645084669</v>
      </c>
      <c r="F1771" s="53">
        <v>4.967872346</v>
      </c>
      <c r="G1771" s="8">
        <f t="shared" si="16"/>
        <v>0.0001361060917</v>
      </c>
      <c r="H1771" s="8">
        <f t="shared" si="11"/>
        <v>5634.58</v>
      </c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</row>
    <row r="1772">
      <c r="A1772" s="54">
        <f t="shared" si="12"/>
        <v>45553</v>
      </c>
      <c r="B1772" s="8">
        <f t="shared" si="13"/>
        <v>1033399150</v>
      </c>
      <c r="C1772" s="8">
        <f t="shared" si="14"/>
        <v>0.0005178082192</v>
      </c>
      <c r="D1772" s="8">
        <v>5618.26</v>
      </c>
      <c r="E1772" s="8">
        <f t="shared" si="17"/>
        <v>-0.002896400442</v>
      </c>
      <c r="F1772" s="53">
        <v>4.920377008</v>
      </c>
      <c r="G1772" s="8">
        <f t="shared" si="16"/>
        <v>0.0001348048495</v>
      </c>
      <c r="H1772" s="8">
        <f t="shared" si="11"/>
        <v>5618.26</v>
      </c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</row>
    <row r="1773">
      <c r="A1773" s="54">
        <f t="shared" si="12"/>
        <v>45554</v>
      </c>
      <c r="B1773" s="8">
        <f t="shared" si="13"/>
        <v>1033934253</v>
      </c>
      <c r="C1773" s="8">
        <f t="shared" si="14"/>
        <v>0.0005178082192</v>
      </c>
      <c r="D1773" s="8">
        <v>5713.64</v>
      </c>
      <c r="E1773" s="8">
        <f t="shared" si="17"/>
        <v>0.01697678641</v>
      </c>
      <c r="F1773" s="53">
        <v>4.950812288</v>
      </c>
      <c r="G1773" s="8">
        <f t="shared" si="16"/>
        <v>0.0001356386928</v>
      </c>
      <c r="H1773" s="8">
        <f t="shared" si="11"/>
        <v>5713.64</v>
      </c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</row>
    <row r="1774">
      <c r="A1774" s="54">
        <f t="shared" si="12"/>
        <v>45555</v>
      </c>
      <c r="B1774" s="8">
        <f t="shared" si="13"/>
        <v>1034469632</v>
      </c>
      <c r="C1774" s="8">
        <f t="shared" si="14"/>
        <v>0.0005178082192</v>
      </c>
      <c r="D1774" s="8">
        <v>5702.55</v>
      </c>
      <c r="E1774" s="8">
        <f t="shared" si="17"/>
        <v>-0.00194096933</v>
      </c>
      <c r="F1774" s="53">
        <v>4.927669706</v>
      </c>
      <c r="G1774" s="8">
        <f t="shared" si="16"/>
        <v>0.0001350046495</v>
      </c>
      <c r="H1774" s="8">
        <f t="shared" si="11"/>
        <v>5702.55</v>
      </c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</row>
    <row r="1775">
      <c r="A1775" s="54">
        <f t="shared" si="12"/>
        <v>45556</v>
      </c>
      <c r="B1775" s="8">
        <f t="shared" si="13"/>
        <v>1035005289</v>
      </c>
      <c r="C1775" s="8">
        <f t="shared" si="14"/>
        <v>0.0005178082192</v>
      </c>
      <c r="D1775" s="8">
        <v>5702.55</v>
      </c>
      <c r="E1775" s="8">
        <f t="shared" si="17"/>
        <v>0</v>
      </c>
      <c r="F1775" s="53">
        <v>4.910594608</v>
      </c>
      <c r="G1775" s="8">
        <f t="shared" si="16"/>
        <v>0.0001345368386</v>
      </c>
      <c r="H1775" s="8">
        <f t="shared" si="11"/>
        <v>5702.55</v>
      </c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</row>
    <row r="1776">
      <c r="A1776" s="54">
        <f t="shared" si="12"/>
        <v>45557</v>
      </c>
      <c r="B1776" s="8">
        <f t="shared" si="13"/>
        <v>1035541224</v>
      </c>
      <c r="C1776" s="8">
        <f t="shared" si="14"/>
        <v>0.0005178082192</v>
      </c>
      <c r="D1776" s="8">
        <v>5702.55</v>
      </c>
      <c r="E1776" s="8">
        <f t="shared" si="17"/>
        <v>0</v>
      </c>
      <c r="F1776" s="53">
        <v>4.923681886</v>
      </c>
      <c r="G1776" s="8">
        <f t="shared" si="16"/>
        <v>0.0001348953941</v>
      </c>
      <c r="H1776" s="8">
        <f t="shared" si="11"/>
        <v>5702.55</v>
      </c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</row>
    <row r="1777">
      <c r="A1777" s="54">
        <f t="shared" si="12"/>
        <v>45558</v>
      </c>
      <c r="B1777" s="8">
        <f t="shared" si="13"/>
        <v>1036077435</v>
      </c>
      <c r="C1777" s="8">
        <f t="shared" si="14"/>
        <v>0.0005178082192</v>
      </c>
      <c r="D1777" s="8">
        <v>5718.57</v>
      </c>
      <c r="E1777" s="8">
        <f t="shared" si="17"/>
        <v>0.002809269537</v>
      </c>
      <c r="F1777" s="53">
        <v>4.947429304</v>
      </c>
      <c r="G1777" s="8">
        <f t="shared" si="16"/>
        <v>0.0001355460083</v>
      </c>
      <c r="H1777" s="8">
        <f t="shared" si="11"/>
        <v>5718.57</v>
      </c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</row>
    <row r="1778">
      <c r="A1778" s="54">
        <f t="shared" si="12"/>
        <v>45559</v>
      </c>
      <c r="B1778" s="8">
        <f t="shared" si="13"/>
        <v>1036613925</v>
      </c>
      <c r="C1778" s="8">
        <f t="shared" si="14"/>
        <v>0.0005178082192</v>
      </c>
      <c r="D1778" s="8">
        <v>5732.93</v>
      </c>
      <c r="E1778" s="8">
        <f t="shared" si="17"/>
        <v>0.00251111729</v>
      </c>
      <c r="F1778" s="53">
        <v>4.922843431</v>
      </c>
      <c r="G1778" s="8">
        <f t="shared" si="16"/>
        <v>0.0001348724228</v>
      </c>
      <c r="H1778" s="8">
        <f t="shared" si="11"/>
        <v>5732.93</v>
      </c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</row>
    <row r="1779">
      <c r="A1779" s="54">
        <f t="shared" si="12"/>
        <v>45560</v>
      </c>
      <c r="B1779" s="8">
        <f t="shared" si="13"/>
        <v>1037150692</v>
      </c>
      <c r="C1779" s="8">
        <f t="shared" si="14"/>
        <v>0.0005178082192</v>
      </c>
      <c r="D1779" s="8">
        <v>5722.26</v>
      </c>
      <c r="E1779" s="8">
        <f t="shared" si="17"/>
        <v>-0.001861177443</v>
      </c>
      <c r="F1779" s="53">
        <v>4.940371833</v>
      </c>
      <c r="G1779" s="8">
        <f t="shared" si="16"/>
        <v>0.000135352653</v>
      </c>
      <c r="H1779" s="8">
        <f t="shared" si="11"/>
        <v>5722.26</v>
      </c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</row>
    <row r="1780">
      <c r="A1780" s="54">
        <f t="shared" si="12"/>
        <v>45561</v>
      </c>
      <c r="B1780" s="8">
        <f t="shared" si="13"/>
        <v>1037687737</v>
      </c>
      <c r="C1780" s="8">
        <f t="shared" si="14"/>
        <v>0.0005178082192</v>
      </c>
      <c r="D1780" s="8">
        <v>5745.37</v>
      </c>
      <c r="E1780" s="8">
        <f t="shared" si="17"/>
        <v>0.004038614114</v>
      </c>
      <c r="F1780" s="53">
        <v>4.958898938</v>
      </c>
      <c r="G1780" s="8">
        <f t="shared" si="16"/>
        <v>0.0001358602449</v>
      </c>
      <c r="H1780" s="8">
        <f t="shared" si="11"/>
        <v>5745.37</v>
      </c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</row>
    <row r="1781">
      <c r="A1781" s="54">
        <f t="shared" si="12"/>
        <v>45562</v>
      </c>
      <c r="B1781" s="8">
        <f t="shared" si="13"/>
        <v>1038225060</v>
      </c>
      <c r="C1781" s="8">
        <f t="shared" si="14"/>
        <v>0.0005178082192</v>
      </c>
      <c r="D1781" s="8">
        <v>5738.17</v>
      </c>
      <c r="E1781" s="8">
        <f t="shared" si="17"/>
        <v>-0.001253182998</v>
      </c>
      <c r="F1781" s="53">
        <v>4.888964873</v>
      </c>
      <c r="G1781" s="8">
        <f t="shared" si="16"/>
        <v>0.0001339442431</v>
      </c>
      <c r="H1781" s="8">
        <f t="shared" si="11"/>
        <v>5738.17</v>
      </c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</row>
    <row r="1782">
      <c r="A1782" s="54">
        <f t="shared" si="12"/>
        <v>45563</v>
      </c>
      <c r="B1782" s="8">
        <f t="shared" si="13"/>
        <v>1038762662</v>
      </c>
      <c r="C1782" s="8">
        <f t="shared" si="14"/>
        <v>0.0005178082192</v>
      </c>
      <c r="D1782" s="8">
        <v>5738.17</v>
      </c>
      <c r="E1782" s="8">
        <f t="shared" si="17"/>
        <v>0</v>
      </c>
      <c r="F1782" s="53">
        <v>4.896030557</v>
      </c>
      <c r="G1782" s="8">
        <f t="shared" si="16"/>
        <v>0.0001341378235</v>
      </c>
      <c r="H1782" s="8">
        <f t="shared" si="11"/>
        <v>5738.17</v>
      </c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</row>
    <row r="1783">
      <c r="A1783" s="54">
        <f t="shared" si="12"/>
        <v>45564</v>
      </c>
      <c r="B1783" s="8">
        <f t="shared" si="13"/>
        <v>1039300542</v>
      </c>
      <c r="C1783" s="8">
        <f t="shared" si="14"/>
        <v>0.0005178082192</v>
      </c>
      <c r="D1783" s="8">
        <v>5738.17</v>
      </c>
      <c r="E1783" s="8">
        <f t="shared" si="17"/>
        <v>0</v>
      </c>
      <c r="F1783" s="53">
        <v>4.833970285</v>
      </c>
      <c r="G1783" s="8">
        <f t="shared" si="16"/>
        <v>0.0001324375421</v>
      </c>
      <c r="H1783" s="8">
        <f t="shared" si="11"/>
        <v>5738.17</v>
      </c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</row>
    <row r="1784">
      <c r="A1784" s="54">
        <f t="shared" si="12"/>
        <v>45565</v>
      </c>
      <c r="B1784" s="8">
        <f t="shared" si="13"/>
        <v>1039838700</v>
      </c>
      <c r="C1784" s="8">
        <f t="shared" si="14"/>
        <v>0.0005178082192</v>
      </c>
      <c r="D1784" s="8">
        <v>5762.48</v>
      </c>
      <c r="E1784" s="8">
        <f t="shared" si="17"/>
        <v>0.004236542312</v>
      </c>
      <c r="F1784" s="53">
        <v>4.936744717</v>
      </c>
      <c r="G1784" s="8">
        <f t="shared" si="16"/>
        <v>0.0001352532799</v>
      </c>
      <c r="H1784" s="8">
        <f t="shared" si="11"/>
        <v>5762.48</v>
      </c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</row>
    <row r="1785">
      <c r="A1785" s="54">
        <f t="shared" si="12"/>
        <v>45566</v>
      </c>
      <c r="B1785" s="8">
        <f t="shared" si="13"/>
        <v>1040377137</v>
      </c>
      <c r="C1785" s="8">
        <f t="shared" si="14"/>
        <v>0.0005178082192</v>
      </c>
      <c r="D1785" s="8">
        <v>5708.75</v>
      </c>
      <c r="E1785" s="8">
        <f t="shared" si="17"/>
        <v>-0.009324110452</v>
      </c>
      <c r="F1785" s="53">
        <v>4.898363969</v>
      </c>
      <c r="G1785" s="8">
        <f t="shared" si="16"/>
        <v>0.0001342017526</v>
      </c>
      <c r="H1785" s="8">
        <f t="shared" si="11"/>
        <v>5708.75</v>
      </c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</row>
    <row r="1786">
      <c r="A1786" s="54">
        <f t="shared" si="12"/>
        <v>45567</v>
      </c>
      <c r="B1786" s="8">
        <f t="shared" si="13"/>
        <v>1040915853</v>
      </c>
      <c r="C1786" s="8">
        <f t="shared" si="14"/>
        <v>0.0005178082192</v>
      </c>
      <c r="D1786" s="8">
        <v>5709.54</v>
      </c>
      <c r="E1786" s="8">
        <f t="shared" si="17"/>
        <v>0.0001383840596</v>
      </c>
      <c r="F1786" s="53">
        <v>4.910773175</v>
      </c>
      <c r="G1786" s="8">
        <f t="shared" si="16"/>
        <v>0.0001345417308</v>
      </c>
      <c r="H1786" s="8">
        <f t="shared" si="11"/>
        <v>5709.54</v>
      </c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</row>
    <row r="1787">
      <c r="A1787" s="54">
        <f t="shared" si="12"/>
        <v>45568</v>
      </c>
      <c r="B1787" s="8">
        <f t="shared" si="13"/>
        <v>1041454848</v>
      </c>
      <c r="C1787" s="8">
        <f t="shared" si="14"/>
        <v>0.0005178082192</v>
      </c>
      <c r="D1787" s="8">
        <v>5699.94</v>
      </c>
      <c r="E1787" s="8">
        <f t="shared" si="17"/>
        <v>-0.0016813964</v>
      </c>
      <c r="F1787" s="53">
        <v>4.937101543</v>
      </c>
      <c r="G1787" s="8">
        <f t="shared" si="16"/>
        <v>0.000135263056</v>
      </c>
      <c r="H1787" s="8">
        <f t="shared" si="11"/>
        <v>5699.94</v>
      </c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</row>
    <row r="1788">
      <c r="A1788" s="54">
        <f t="shared" si="12"/>
        <v>45569</v>
      </c>
      <c r="B1788" s="8">
        <f t="shared" si="13"/>
        <v>1041994122</v>
      </c>
      <c r="C1788" s="8">
        <f t="shared" si="14"/>
        <v>0.0005178082192</v>
      </c>
      <c r="D1788" s="8">
        <v>5751.07</v>
      </c>
      <c r="E1788" s="8">
        <f t="shared" si="17"/>
        <v>0.008970269862</v>
      </c>
      <c r="F1788" s="53">
        <v>4.843572123</v>
      </c>
      <c r="G1788" s="8">
        <f t="shared" si="16"/>
        <v>0.0001327006061</v>
      </c>
      <c r="H1788" s="8">
        <f t="shared" si="11"/>
        <v>5751.07</v>
      </c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</row>
    <row r="1789">
      <c r="A1789" s="54">
        <f t="shared" si="12"/>
        <v>45570</v>
      </c>
      <c r="B1789" s="8">
        <f t="shared" si="13"/>
        <v>1042533675</v>
      </c>
      <c r="C1789" s="8">
        <f t="shared" si="14"/>
        <v>0.0005178082192</v>
      </c>
      <c r="D1789" s="8">
        <v>5751.07</v>
      </c>
      <c r="E1789" s="8">
        <f t="shared" si="17"/>
        <v>0</v>
      </c>
      <c r="F1789" s="53">
        <v>5.025541213</v>
      </c>
      <c r="G1789" s="8">
        <f t="shared" si="16"/>
        <v>0.0001376860606</v>
      </c>
      <c r="H1789" s="8">
        <f t="shared" si="11"/>
        <v>5751.07</v>
      </c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</row>
    <row r="1790">
      <c r="A1790" s="54">
        <f t="shared" si="12"/>
        <v>45571</v>
      </c>
      <c r="B1790" s="8">
        <f t="shared" si="13"/>
        <v>1043073507</v>
      </c>
      <c r="C1790" s="8">
        <f t="shared" si="14"/>
        <v>0.0005178082192</v>
      </c>
      <c r="D1790" s="8">
        <v>5751.07</v>
      </c>
      <c r="E1790" s="8">
        <f t="shared" si="17"/>
        <v>0</v>
      </c>
      <c r="F1790" s="53">
        <v>4.935667151</v>
      </c>
      <c r="G1790" s="8">
        <f t="shared" si="16"/>
        <v>0.0001352237576</v>
      </c>
      <c r="H1790" s="8">
        <f t="shared" si="11"/>
        <v>5751.07</v>
      </c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</row>
    <row r="1791">
      <c r="A1791" s="54">
        <f t="shared" si="12"/>
        <v>45572</v>
      </c>
      <c r="B1791" s="8">
        <f t="shared" si="13"/>
        <v>1043613619</v>
      </c>
      <c r="C1791" s="8">
        <f t="shared" si="14"/>
        <v>0.0005178082192</v>
      </c>
      <c r="D1791" s="8">
        <v>5695.94</v>
      </c>
      <c r="E1791" s="8">
        <f t="shared" si="17"/>
        <v>-0.00958604225</v>
      </c>
      <c r="F1791" s="53">
        <v>4.881996107</v>
      </c>
      <c r="G1791" s="8">
        <f t="shared" si="16"/>
        <v>0.000133753318</v>
      </c>
      <c r="H1791" s="8">
        <f t="shared" si="11"/>
        <v>5695.94</v>
      </c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</row>
    <row r="1792">
      <c r="A1792" s="54">
        <f t="shared" si="12"/>
        <v>45573</v>
      </c>
      <c r="B1792" s="8">
        <f t="shared" si="13"/>
        <v>1044154011</v>
      </c>
      <c r="C1792" s="8">
        <f t="shared" si="14"/>
        <v>0.0005178082192</v>
      </c>
      <c r="D1792" s="8">
        <v>5751.13</v>
      </c>
      <c r="E1792" s="8">
        <f t="shared" si="17"/>
        <v>0.009689357683</v>
      </c>
      <c r="F1792" s="53">
        <v>4.906938504</v>
      </c>
      <c r="G1792" s="8">
        <f t="shared" si="16"/>
        <v>0.0001344366713</v>
      </c>
      <c r="H1792" s="8">
        <f t="shared" si="11"/>
        <v>5751.13</v>
      </c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</row>
    <row r="1793">
      <c r="A1793" s="54">
        <f t="shared" si="12"/>
        <v>45574</v>
      </c>
      <c r="B1793" s="8">
        <f t="shared" si="13"/>
        <v>1044694682</v>
      </c>
      <c r="C1793" s="8">
        <f t="shared" si="14"/>
        <v>0.0005178082192</v>
      </c>
      <c r="D1793" s="8">
        <v>5792.04</v>
      </c>
      <c r="E1793" s="8">
        <f t="shared" si="17"/>
        <v>0.007113384674</v>
      </c>
      <c r="F1793" s="53">
        <v>4.942071351</v>
      </c>
      <c r="G1793" s="8">
        <f t="shared" si="16"/>
        <v>0.0001353992151</v>
      </c>
      <c r="H1793" s="8">
        <f t="shared" si="11"/>
        <v>5792.04</v>
      </c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</row>
    <row r="1794">
      <c r="A1794" s="54">
        <f t="shared" si="12"/>
        <v>45575</v>
      </c>
      <c r="B1794" s="8">
        <f t="shared" si="13"/>
        <v>1045235634</v>
      </c>
      <c r="C1794" s="8">
        <f t="shared" si="14"/>
        <v>0.0005178082192</v>
      </c>
      <c r="D1794" s="8">
        <v>5780.05</v>
      </c>
      <c r="E1794" s="8">
        <f t="shared" si="17"/>
        <v>-0.002070082389</v>
      </c>
      <c r="F1794" s="53">
        <v>4.943098032</v>
      </c>
      <c r="G1794" s="8">
        <f t="shared" si="16"/>
        <v>0.0001354273433</v>
      </c>
      <c r="H1794" s="8">
        <f t="shared" si="11"/>
        <v>5780.05</v>
      </c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</row>
    <row r="1795">
      <c r="A1795" s="54">
        <f t="shared" si="12"/>
        <v>45576</v>
      </c>
      <c r="B1795" s="8">
        <f t="shared" si="13"/>
        <v>1045776866</v>
      </c>
      <c r="C1795" s="8">
        <f t="shared" si="14"/>
        <v>0.0005178082192</v>
      </c>
      <c r="D1795" s="8">
        <v>5815.03</v>
      </c>
      <c r="E1795" s="8">
        <f t="shared" si="17"/>
        <v>0.006051850763</v>
      </c>
      <c r="F1795" s="53">
        <v>4.914641755</v>
      </c>
      <c r="G1795" s="8">
        <f t="shared" si="16"/>
        <v>0.0001346477193</v>
      </c>
      <c r="H1795" s="8">
        <f t="shared" si="11"/>
        <v>5815.03</v>
      </c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</row>
    <row r="1796">
      <c r="A1796" s="54">
        <f t="shared" si="12"/>
        <v>45577</v>
      </c>
      <c r="B1796" s="8">
        <f t="shared" si="13"/>
        <v>1046318377</v>
      </c>
      <c r="C1796" s="8">
        <f t="shared" si="14"/>
        <v>0.0005178082192</v>
      </c>
      <c r="D1796" s="8">
        <v>5815.03</v>
      </c>
      <c r="E1796" s="8">
        <f t="shared" si="17"/>
        <v>0</v>
      </c>
      <c r="F1796" s="53">
        <v>4.95493437</v>
      </c>
      <c r="G1796" s="8">
        <f t="shared" si="16"/>
        <v>0.0001357516266</v>
      </c>
      <c r="H1796" s="8">
        <f t="shared" si="11"/>
        <v>5815.03</v>
      </c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</row>
    <row r="1797">
      <c r="A1797" s="54">
        <f t="shared" si="12"/>
        <v>45578</v>
      </c>
      <c r="B1797" s="8">
        <f t="shared" si="13"/>
        <v>1046860170</v>
      </c>
      <c r="C1797" s="8">
        <f t="shared" si="14"/>
        <v>0.0005178082192</v>
      </c>
      <c r="D1797" s="8">
        <v>5815.03</v>
      </c>
      <c r="E1797" s="8">
        <f t="shared" si="17"/>
        <v>0</v>
      </c>
      <c r="F1797" s="53">
        <v>4.938273366</v>
      </c>
      <c r="G1797" s="8">
        <f t="shared" si="16"/>
        <v>0.0001352951607</v>
      </c>
      <c r="H1797" s="8">
        <f t="shared" si="11"/>
        <v>5815.03</v>
      </c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</row>
    <row r="1798">
      <c r="A1798" s="54">
        <f t="shared" si="12"/>
        <v>45579</v>
      </c>
      <c r="B1798" s="8">
        <f t="shared" si="13"/>
        <v>1047402242</v>
      </c>
      <c r="C1798" s="8">
        <f t="shared" si="14"/>
        <v>0.0005178082192</v>
      </c>
      <c r="D1798" s="8">
        <v>5859.85</v>
      </c>
      <c r="E1798" s="8">
        <f t="shared" si="17"/>
        <v>0.007707612858</v>
      </c>
      <c r="F1798" s="53">
        <v>4.896305948</v>
      </c>
      <c r="G1798" s="8">
        <f t="shared" si="16"/>
        <v>0.0001341453684</v>
      </c>
      <c r="H1798" s="8">
        <f t="shared" si="11"/>
        <v>5859.85</v>
      </c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</row>
    <row r="1799">
      <c r="A1799" s="54">
        <f t="shared" si="12"/>
        <v>45580</v>
      </c>
      <c r="B1799" s="8">
        <f t="shared" si="13"/>
        <v>1047944596</v>
      </c>
      <c r="C1799" s="8">
        <f t="shared" si="14"/>
        <v>0.0005178082192</v>
      </c>
      <c r="D1799" s="8">
        <v>5815.26</v>
      </c>
      <c r="E1799" s="8">
        <f t="shared" si="17"/>
        <v>-0.007609409797</v>
      </c>
      <c r="F1799" s="53">
        <v>4.877313311</v>
      </c>
      <c r="G1799" s="8">
        <f t="shared" si="16"/>
        <v>0.0001336250222</v>
      </c>
      <c r="H1799" s="8">
        <f t="shared" si="11"/>
        <v>5815.26</v>
      </c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</row>
    <row r="1800">
      <c r="A1800" s="54">
        <f t="shared" si="12"/>
        <v>45581</v>
      </c>
      <c r="B1800" s="8">
        <f t="shared" si="13"/>
        <v>1048487230</v>
      </c>
      <c r="C1800" s="8">
        <f t="shared" si="14"/>
        <v>0.0005178082192</v>
      </c>
      <c r="D1800" s="8">
        <v>5842.47</v>
      </c>
      <c r="E1800" s="8">
        <f t="shared" si="17"/>
        <v>0.00467906852</v>
      </c>
      <c r="F1800" s="53">
        <v>4.930118206</v>
      </c>
      <c r="G1800" s="8">
        <f t="shared" si="16"/>
        <v>0.0001350717317</v>
      </c>
      <c r="H1800" s="8">
        <f t="shared" si="11"/>
        <v>5842.47</v>
      </c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</row>
    <row r="1801">
      <c r="A1801" s="54">
        <f t="shared" si="12"/>
        <v>45582</v>
      </c>
      <c r="B1801" s="8">
        <f t="shared" si="13"/>
        <v>1049030146</v>
      </c>
      <c r="C1801" s="8">
        <f t="shared" si="14"/>
        <v>0.0005178082192</v>
      </c>
      <c r="D1801" s="8">
        <v>5841.47</v>
      </c>
      <c r="E1801" s="8">
        <f t="shared" si="17"/>
        <v>-0.0001711604852</v>
      </c>
      <c r="F1801" s="53">
        <v>4.933470871</v>
      </c>
      <c r="G1801" s="8">
        <f t="shared" si="16"/>
        <v>0.0001351635855</v>
      </c>
      <c r="H1801" s="8">
        <f t="shared" si="11"/>
        <v>5841.47</v>
      </c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</row>
    <row r="1802">
      <c r="A1802" s="54">
        <f t="shared" si="12"/>
        <v>45583</v>
      </c>
      <c r="B1802" s="8">
        <f t="shared" si="13"/>
        <v>1049573342</v>
      </c>
      <c r="C1802" s="8">
        <f t="shared" si="14"/>
        <v>0.0005178082192</v>
      </c>
      <c r="D1802" s="8">
        <v>5864.67</v>
      </c>
      <c r="E1802" s="8">
        <f t="shared" si="17"/>
        <v>0.003971603038</v>
      </c>
      <c r="F1802" s="53">
        <v>4.908110047</v>
      </c>
      <c r="G1802" s="8">
        <f t="shared" si="16"/>
        <v>0.0001344687684</v>
      </c>
      <c r="H1802" s="8">
        <f t="shared" si="11"/>
        <v>5864.67</v>
      </c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</row>
    <row r="1803">
      <c r="A1803" s="54">
        <f t="shared" si="12"/>
        <v>45584</v>
      </c>
      <c r="B1803" s="8">
        <f t="shared" si="13"/>
        <v>1050116820</v>
      </c>
      <c r="C1803" s="8">
        <f t="shared" si="14"/>
        <v>0.0005178082192</v>
      </c>
      <c r="D1803" s="8">
        <v>5864.67</v>
      </c>
      <c r="E1803" s="8">
        <f t="shared" si="17"/>
        <v>0</v>
      </c>
      <c r="F1803" s="53">
        <v>4.875184913</v>
      </c>
      <c r="G1803" s="8">
        <f t="shared" si="16"/>
        <v>0.0001335667099</v>
      </c>
      <c r="H1803" s="8">
        <f t="shared" si="11"/>
        <v>5864.67</v>
      </c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</row>
    <row r="1804">
      <c r="A1804" s="54">
        <f t="shared" si="12"/>
        <v>45585</v>
      </c>
      <c r="B1804" s="8">
        <f t="shared" si="13"/>
        <v>1050660579</v>
      </c>
      <c r="C1804" s="8">
        <f t="shared" si="14"/>
        <v>0.0005178082192</v>
      </c>
      <c r="D1804" s="8">
        <v>5864.67</v>
      </c>
      <c r="E1804" s="8">
        <f t="shared" si="17"/>
        <v>0</v>
      </c>
      <c r="F1804" s="53">
        <v>4.860405129</v>
      </c>
      <c r="G1804" s="8">
        <f t="shared" si="16"/>
        <v>0.0001331617844</v>
      </c>
      <c r="H1804" s="8">
        <f t="shared" si="11"/>
        <v>5864.67</v>
      </c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</row>
    <row r="1805">
      <c r="A1805" s="54">
        <f t="shared" si="12"/>
        <v>45586</v>
      </c>
      <c r="B1805" s="8">
        <f t="shared" si="13"/>
        <v>1051204620</v>
      </c>
      <c r="C1805" s="8">
        <f t="shared" si="14"/>
        <v>0.0005178082192</v>
      </c>
      <c r="D1805" s="8">
        <v>5853.98</v>
      </c>
      <c r="E1805" s="8">
        <f t="shared" si="17"/>
        <v>-0.001822779457</v>
      </c>
      <c r="F1805" s="53">
        <v>4.875629924</v>
      </c>
      <c r="G1805" s="8">
        <f t="shared" si="16"/>
        <v>0.000133578902</v>
      </c>
      <c r="H1805" s="8">
        <f t="shared" si="11"/>
        <v>5853.98</v>
      </c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</row>
    <row r="1806">
      <c r="A1806" s="54">
        <f t="shared" si="12"/>
        <v>45587</v>
      </c>
      <c r="B1806" s="8">
        <f t="shared" si="13"/>
        <v>1051748942</v>
      </c>
      <c r="C1806" s="8">
        <f t="shared" si="14"/>
        <v>0.0005178082192</v>
      </c>
      <c r="D1806" s="8">
        <v>5851.2</v>
      </c>
      <c r="E1806" s="8">
        <f t="shared" si="17"/>
        <v>-0.0004748905873</v>
      </c>
      <c r="F1806" s="53">
        <v>4.842554451</v>
      </c>
      <c r="G1806" s="8">
        <f t="shared" si="16"/>
        <v>0.0001326727247</v>
      </c>
      <c r="H1806" s="8">
        <f t="shared" si="11"/>
        <v>5851.2</v>
      </c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</row>
    <row r="1807">
      <c r="A1807" s="54">
        <f t="shared" si="12"/>
        <v>45588</v>
      </c>
      <c r="B1807" s="8">
        <f t="shared" si="13"/>
        <v>1052293546</v>
      </c>
      <c r="C1807" s="8">
        <f t="shared" si="14"/>
        <v>0.0005178082192</v>
      </c>
      <c r="D1807" s="8">
        <v>5797.42</v>
      </c>
      <c r="E1807" s="8">
        <f t="shared" si="17"/>
        <v>-0.009191277003</v>
      </c>
      <c r="F1807" s="53">
        <v>4.890995317</v>
      </c>
      <c r="G1807" s="8">
        <f t="shared" si="16"/>
        <v>0.0001339998717</v>
      </c>
      <c r="H1807" s="8">
        <f t="shared" si="11"/>
        <v>5797.42</v>
      </c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</row>
    <row r="1808">
      <c r="A1808" s="54">
        <f t="shared" si="12"/>
        <v>45589</v>
      </c>
      <c r="B1808" s="8">
        <f t="shared" si="13"/>
        <v>1052838432</v>
      </c>
      <c r="C1808" s="8">
        <f t="shared" si="14"/>
        <v>0.0005178082192</v>
      </c>
      <c r="D1808" s="8">
        <v>5809.86</v>
      </c>
      <c r="E1808" s="8">
        <f t="shared" si="17"/>
        <v>0.002145782089</v>
      </c>
      <c r="F1808" s="53">
        <v>4.880655052</v>
      </c>
      <c r="G1808" s="8">
        <f t="shared" si="16"/>
        <v>0.0001337165768</v>
      </c>
      <c r="H1808" s="8">
        <f t="shared" si="11"/>
        <v>5809.86</v>
      </c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</row>
    <row r="1809">
      <c r="A1809" s="54">
        <f t="shared" si="12"/>
        <v>45590</v>
      </c>
      <c r="B1809" s="8">
        <f t="shared" si="13"/>
        <v>1053383601</v>
      </c>
      <c r="C1809" s="8">
        <f t="shared" si="14"/>
        <v>0.0005178082192</v>
      </c>
      <c r="D1809" s="8">
        <v>5808.12</v>
      </c>
      <c r="E1809" s="8">
        <f t="shared" si="17"/>
        <v>-0.0002994908655</v>
      </c>
      <c r="F1809" s="53">
        <v>4.874753658</v>
      </c>
      <c r="G1809" s="8">
        <f t="shared" si="16"/>
        <v>0.0001335548947</v>
      </c>
      <c r="H1809" s="8">
        <f t="shared" si="11"/>
        <v>5808.12</v>
      </c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</row>
    <row r="1810">
      <c r="A1810" s="54">
        <f t="shared" si="12"/>
        <v>45591</v>
      </c>
      <c r="B1810" s="8">
        <f t="shared" si="13"/>
        <v>1053929051</v>
      </c>
      <c r="C1810" s="8">
        <f t="shared" si="14"/>
        <v>0.0005178082192</v>
      </c>
      <c r="D1810" s="8">
        <v>5808.12</v>
      </c>
      <c r="E1810" s="8">
        <f t="shared" si="17"/>
        <v>0</v>
      </c>
      <c r="F1810" s="53">
        <v>4.950993803</v>
      </c>
      <c r="G1810" s="8">
        <f t="shared" si="16"/>
        <v>0.0001356436658</v>
      </c>
      <c r="H1810" s="8">
        <f t="shared" si="11"/>
        <v>5808.12</v>
      </c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</row>
    <row r="1811">
      <c r="A1811" s="54">
        <f t="shared" si="12"/>
        <v>45592</v>
      </c>
      <c r="B1811" s="8">
        <f t="shared" si="13"/>
        <v>1054474785</v>
      </c>
      <c r="C1811" s="8">
        <f t="shared" si="14"/>
        <v>0.0005178082192</v>
      </c>
      <c r="D1811" s="8">
        <v>5808.12</v>
      </c>
      <c r="E1811" s="8">
        <f t="shared" si="17"/>
        <v>0</v>
      </c>
      <c r="F1811" s="53">
        <v>4.928458882</v>
      </c>
      <c r="G1811" s="8">
        <f t="shared" si="16"/>
        <v>0.0001350262707</v>
      </c>
      <c r="H1811" s="8">
        <f t="shared" si="11"/>
        <v>5808.12</v>
      </c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</row>
    <row r="1812">
      <c r="A1812" s="54">
        <f t="shared" si="12"/>
        <v>45593</v>
      </c>
      <c r="B1812" s="8">
        <f t="shared" si="13"/>
        <v>1055020800</v>
      </c>
      <c r="C1812" s="8">
        <f t="shared" si="14"/>
        <v>0.0005178082192</v>
      </c>
      <c r="D1812" s="8">
        <v>5823.52</v>
      </c>
      <c r="E1812" s="8">
        <f t="shared" si="17"/>
        <v>0.002651460369</v>
      </c>
      <c r="F1812" s="53">
        <v>4.843037858</v>
      </c>
      <c r="G1812" s="8">
        <f t="shared" si="16"/>
        <v>0.0001326859687</v>
      </c>
      <c r="H1812" s="8">
        <f t="shared" si="11"/>
        <v>5823.52</v>
      </c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</row>
    <row r="1813">
      <c r="A1813" s="54">
        <f t="shared" si="12"/>
        <v>45594</v>
      </c>
      <c r="B1813" s="8">
        <f t="shared" si="13"/>
        <v>1055567099</v>
      </c>
      <c r="C1813" s="8">
        <f t="shared" si="14"/>
        <v>0.0005178082192</v>
      </c>
      <c r="D1813" s="8">
        <v>5832.92</v>
      </c>
      <c r="E1813" s="8">
        <f t="shared" si="17"/>
        <v>0.001614144023</v>
      </c>
      <c r="F1813" s="53">
        <v>4.854775806</v>
      </c>
      <c r="G1813" s="8">
        <f t="shared" si="16"/>
        <v>0.0001330075563</v>
      </c>
      <c r="H1813" s="8">
        <f t="shared" si="11"/>
        <v>5832.92</v>
      </c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</row>
    <row r="1814">
      <c r="A1814" s="54">
        <f t="shared" si="12"/>
        <v>45595</v>
      </c>
      <c r="B1814" s="8">
        <f t="shared" si="13"/>
        <v>1056113680</v>
      </c>
      <c r="C1814" s="8">
        <f t="shared" si="14"/>
        <v>0.0005178082192</v>
      </c>
      <c r="D1814" s="8">
        <v>5813.67</v>
      </c>
      <c r="E1814" s="8">
        <f t="shared" si="17"/>
        <v>-0.003300233845</v>
      </c>
      <c r="F1814" s="53">
        <v>4.876725824</v>
      </c>
      <c r="G1814" s="8">
        <f t="shared" si="16"/>
        <v>0.0001336089267</v>
      </c>
      <c r="H1814" s="8">
        <f t="shared" si="11"/>
        <v>5813.67</v>
      </c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</row>
    <row r="1815">
      <c r="A1815" s="54">
        <f t="shared" si="12"/>
        <v>45596</v>
      </c>
      <c r="B1815" s="8">
        <f t="shared" si="13"/>
        <v>1056660544</v>
      </c>
      <c r="C1815" s="8">
        <f t="shared" si="14"/>
        <v>0.0005178082192</v>
      </c>
      <c r="D1815" s="8">
        <v>5705.45</v>
      </c>
      <c r="E1815" s="8">
        <f t="shared" si="17"/>
        <v>-0.01861474766</v>
      </c>
      <c r="F1815" s="53">
        <v>4.929597362</v>
      </c>
      <c r="G1815" s="8">
        <f t="shared" si="16"/>
        <v>0.000135057462</v>
      </c>
      <c r="H1815" s="8">
        <f t="shared" si="11"/>
        <v>5705.45</v>
      </c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</row>
    <row r="1816">
      <c r="A1816" s="54">
        <f t="shared" si="12"/>
        <v>45597</v>
      </c>
      <c r="B1816" s="8">
        <f t="shared" si="13"/>
        <v>1057207692</v>
      </c>
      <c r="C1816" s="8">
        <f t="shared" si="14"/>
        <v>0.0005178082192</v>
      </c>
      <c r="D1816" s="8">
        <v>5728.8</v>
      </c>
      <c r="E1816" s="8">
        <f t="shared" si="17"/>
        <v>0.004092578149</v>
      </c>
      <c r="F1816" s="53">
        <v>4.85821036</v>
      </c>
      <c r="G1816" s="8">
        <f t="shared" si="16"/>
        <v>0.0001331016537</v>
      </c>
      <c r="H1816" s="8">
        <f t="shared" si="11"/>
        <v>5728.8</v>
      </c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</row>
    <row r="1817">
      <c r="A1817" s="54">
        <f t="shared" si="12"/>
        <v>45598</v>
      </c>
      <c r="B1817" s="8">
        <f t="shared" si="13"/>
        <v>1057755123</v>
      </c>
      <c r="C1817" s="8">
        <f t="shared" si="14"/>
        <v>0.0005178082192</v>
      </c>
      <c r="D1817" s="8">
        <v>5728.8</v>
      </c>
      <c r="E1817" s="8">
        <f t="shared" si="17"/>
        <v>0</v>
      </c>
      <c r="F1817" s="53">
        <v>4.84995478</v>
      </c>
      <c r="G1817" s="8">
        <f t="shared" si="16"/>
        <v>0.0001328754734</v>
      </c>
      <c r="H1817" s="8">
        <f t="shared" si="11"/>
        <v>5728.8</v>
      </c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</row>
    <row r="1818">
      <c r="A1818" s="54">
        <f t="shared" si="12"/>
        <v>45599</v>
      </c>
      <c r="B1818" s="8">
        <f t="shared" si="13"/>
        <v>1058302837</v>
      </c>
      <c r="C1818" s="8">
        <f t="shared" si="14"/>
        <v>0.0005178082192</v>
      </c>
      <c r="D1818" s="8">
        <v>5728.8</v>
      </c>
      <c r="E1818" s="8">
        <f t="shared" si="17"/>
        <v>0</v>
      </c>
      <c r="F1818" s="53">
        <v>4.84626346</v>
      </c>
      <c r="G1818" s="8">
        <f t="shared" si="16"/>
        <v>0.0001327743414</v>
      </c>
      <c r="H1818" s="8">
        <f t="shared" si="11"/>
        <v>5728.8</v>
      </c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</row>
    <row r="1819">
      <c r="A1819" s="54">
        <f t="shared" si="12"/>
        <v>45600</v>
      </c>
      <c r="B1819" s="8">
        <f t="shared" si="13"/>
        <v>1058850835</v>
      </c>
      <c r="C1819" s="8">
        <f t="shared" si="14"/>
        <v>0.0005178082192</v>
      </c>
      <c r="D1819" s="8">
        <v>5712.69</v>
      </c>
      <c r="E1819" s="8">
        <f t="shared" si="17"/>
        <v>-0.002812107248</v>
      </c>
      <c r="F1819" s="53">
        <v>4.943308103</v>
      </c>
      <c r="G1819" s="8">
        <f t="shared" si="16"/>
        <v>0.0001354330987</v>
      </c>
      <c r="H1819" s="8">
        <f t="shared" si="11"/>
        <v>5712.69</v>
      </c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</row>
    <row r="1820">
      <c r="A1820" s="54">
        <f t="shared" si="12"/>
        <v>45601</v>
      </c>
      <c r="B1820" s="8">
        <f t="shared" si="13"/>
        <v>1059399117</v>
      </c>
      <c r="C1820" s="8">
        <f t="shared" si="14"/>
        <v>0.0005178082192</v>
      </c>
      <c r="D1820" s="8">
        <v>5782.76</v>
      </c>
      <c r="E1820" s="8">
        <f t="shared" si="17"/>
        <v>0.01226567519</v>
      </c>
      <c r="F1820" s="53">
        <v>4.902499798</v>
      </c>
      <c r="G1820" s="8">
        <f t="shared" si="16"/>
        <v>0.000134315063</v>
      </c>
      <c r="H1820" s="8">
        <f t="shared" si="11"/>
        <v>5782.76</v>
      </c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</row>
    <row r="1821">
      <c r="A1821" s="54">
        <f t="shared" si="12"/>
        <v>45602</v>
      </c>
      <c r="B1821" s="8">
        <f t="shared" si="13"/>
        <v>1059947682</v>
      </c>
      <c r="C1821" s="8">
        <f t="shared" si="14"/>
        <v>0.0005178082192</v>
      </c>
      <c r="D1821" s="8">
        <v>5929.04</v>
      </c>
      <c r="E1821" s="8">
        <f t="shared" si="17"/>
        <v>0.02529587948</v>
      </c>
      <c r="F1821" s="53">
        <v>4.879675252</v>
      </c>
      <c r="G1821" s="8">
        <f t="shared" si="16"/>
        <v>0.0001336897329</v>
      </c>
      <c r="H1821" s="8">
        <f t="shared" si="11"/>
        <v>5929.04</v>
      </c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</row>
    <row r="1822">
      <c r="A1822" s="54">
        <f t="shared" si="12"/>
        <v>45603</v>
      </c>
      <c r="B1822" s="8">
        <f t="shared" si="13"/>
        <v>1060496532</v>
      </c>
      <c r="C1822" s="8">
        <f t="shared" si="14"/>
        <v>0.0005178082192</v>
      </c>
      <c r="D1822" s="8">
        <v>5973.1</v>
      </c>
      <c r="E1822" s="8">
        <f t="shared" si="17"/>
        <v>0.007431219894</v>
      </c>
      <c r="F1822" s="53">
        <v>4.924552458</v>
      </c>
      <c r="G1822" s="8">
        <f t="shared" si="16"/>
        <v>0.0001349192454</v>
      </c>
      <c r="H1822" s="8">
        <f t="shared" si="11"/>
        <v>5973.1</v>
      </c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</row>
    <row r="1823">
      <c r="A1823" s="54">
        <f t="shared" si="12"/>
        <v>45604</v>
      </c>
      <c r="B1823" s="8">
        <f t="shared" si="13"/>
        <v>1061045666</v>
      </c>
      <c r="C1823" s="8">
        <f t="shared" si="14"/>
        <v>0.0005178082192</v>
      </c>
      <c r="D1823" s="8">
        <v>5995.54</v>
      </c>
      <c r="E1823" s="8">
        <f t="shared" si="17"/>
        <v>0.00375684318</v>
      </c>
      <c r="F1823" s="53">
        <v>4.874036266</v>
      </c>
      <c r="G1823" s="8">
        <f t="shared" si="16"/>
        <v>0.0001335352402</v>
      </c>
      <c r="H1823" s="8">
        <f t="shared" si="11"/>
        <v>5995.54</v>
      </c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</row>
    <row r="1824">
      <c r="A1824" s="54">
        <f t="shared" si="12"/>
        <v>45605</v>
      </c>
      <c r="B1824" s="8">
        <f t="shared" si="13"/>
        <v>1061595084</v>
      </c>
      <c r="C1824" s="8">
        <f t="shared" si="14"/>
        <v>0.0005178082192</v>
      </c>
      <c r="D1824" s="8">
        <v>5995.54</v>
      </c>
      <c r="E1824" s="8">
        <f t="shared" si="17"/>
        <v>0</v>
      </c>
      <c r="F1824" s="53">
        <v>4.888180655</v>
      </c>
      <c r="G1824" s="8">
        <f t="shared" si="16"/>
        <v>0.0001339227577</v>
      </c>
      <c r="H1824" s="8">
        <f t="shared" si="11"/>
        <v>5995.54</v>
      </c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</row>
    <row r="1825">
      <c r="A1825" s="54">
        <f t="shared" si="12"/>
        <v>45606</v>
      </c>
      <c r="B1825" s="8">
        <f t="shared" si="13"/>
        <v>1062144786</v>
      </c>
      <c r="C1825" s="8">
        <f t="shared" si="14"/>
        <v>0.0005178082192</v>
      </c>
      <c r="D1825" s="8">
        <v>5995.54</v>
      </c>
      <c r="E1825" s="8">
        <f t="shared" si="17"/>
        <v>0</v>
      </c>
      <c r="F1825" s="53">
        <v>4.890196042</v>
      </c>
      <c r="G1825" s="8">
        <f t="shared" si="16"/>
        <v>0.0001339779738</v>
      </c>
      <c r="H1825" s="8">
        <f t="shared" si="11"/>
        <v>5995.54</v>
      </c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</row>
    <row r="1826">
      <c r="A1826" s="54">
        <f t="shared" si="12"/>
        <v>45607</v>
      </c>
      <c r="B1826" s="8">
        <f t="shared" si="13"/>
        <v>1062694774</v>
      </c>
      <c r="C1826" s="8">
        <f t="shared" si="14"/>
        <v>0.0005178082192</v>
      </c>
      <c r="D1826" s="8">
        <v>6001.35</v>
      </c>
      <c r="E1826" s="8">
        <f t="shared" si="17"/>
        <v>0.0009690536632</v>
      </c>
      <c r="F1826" s="53">
        <v>4.837465676</v>
      </c>
      <c r="G1826" s="8">
        <f t="shared" si="16"/>
        <v>0.0001325333062</v>
      </c>
      <c r="H1826" s="8">
        <f t="shared" si="11"/>
        <v>6001.35</v>
      </c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</row>
    <row r="1827">
      <c r="A1827" s="54">
        <f t="shared" si="12"/>
        <v>45608</v>
      </c>
      <c r="B1827" s="8">
        <f t="shared" si="13"/>
        <v>1063245046</v>
      </c>
      <c r="C1827" s="8">
        <f t="shared" si="14"/>
        <v>0.0005178082192</v>
      </c>
      <c r="D1827" s="8">
        <v>5983.99</v>
      </c>
      <c r="E1827" s="8">
        <f t="shared" si="17"/>
        <v>-0.00289268248</v>
      </c>
      <c r="F1827" s="53">
        <v>4.937766691</v>
      </c>
      <c r="G1827" s="8">
        <f t="shared" si="16"/>
        <v>0.0001352812792</v>
      </c>
      <c r="H1827" s="8">
        <f t="shared" si="11"/>
        <v>5983.99</v>
      </c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</row>
    <row r="1828">
      <c r="A1828" s="54">
        <f t="shared" si="12"/>
        <v>45609</v>
      </c>
      <c r="B1828" s="8">
        <f t="shared" si="13"/>
        <v>1063795603</v>
      </c>
      <c r="C1828" s="8">
        <f t="shared" si="14"/>
        <v>0.0005178082192</v>
      </c>
      <c r="D1828" s="8">
        <v>5985.38</v>
      </c>
      <c r="E1828" s="8">
        <f t="shared" si="17"/>
        <v>0.0002322864844</v>
      </c>
      <c r="F1828" s="53">
        <v>4.884109505</v>
      </c>
      <c r="G1828" s="8">
        <f t="shared" si="16"/>
        <v>0.0001338112193</v>
      </c>
      <c r="H1828" s="8">
        <f t="shared" si="11"/>
        <v>5985.38</v>
      </c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</row>
    <row r="1829">
      <c r="A1829" s="54">
        <f t="shared" si="12"/>
        <v>45610</v>
      </c>
      <c r="B1829" s="8">
        <f t="shared" si="13"/>
        <v>1064346445</v>
      </c>
      <c r="C1829" s="8">
        <f t="shared" si="14"/>
        <v>0.0005178082192</v>
      </c>
      <c r="D1829" s="8">
        <v>5949.17</v>
      </c>
      <c r="E1829" s="8">
        <f t="shared" si="17"/>
        <v>-0.006049741203</v>
      </c>
      <c r="F1829" s="53">
        <v>4.923655993</v>
      </c>
      <c r="G1829" s="8">
        <f t="shared" si="16"/>
        <v>0.0001348946847</v>
      </c>
      <c r="H1829" s="8">
        <f t="shared" si="11"/>
        <v>5949.17</v>
      </c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</row>
    <row r="1830">
      <c r="A1830" s="54">
        <f t="shared" si="12"/>
        <v>45611</v>
      </c>
      <c r="B1830" s="8">
        <f t="shared" si="13"/>
        <v>1064897572</v>
      </c>
      <c r="C1830" s="8">
        <f t="shared" si="14"/>
        <v>0.0005178082192</v>
      </c>
      <c r="D1830" s="8">
        <v>5870.62</v>
      </c>
      <c r="E1830" s="8">
        <f t="shared" si="17"/>
        <v>-0.01320352251</v>
      </c>
      <c r="F1830" s="53">
        <v>4.802798847</v>
      </c>
      <c r="G1830" s="8">
        <f t="shared" si="16"/>
        <v>0.0001315835301</v>
      </c>
      <c r="H1830" s="8">
        <f t="shared" si="11"/>
        <v>5870.62</v>
      </c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</row>
    <row r="1831">
      <c r="A1831" s="54">
        <f t="shared" si="12"/>
        <v>45612</v>
      </c>
      <c r="B1831" s="8">
        <f t="shared" si="13"/>
        <v>1065448985</v>
      </c>
      <c r="C1831" s="8">
        <f t="shared" si="14"/>
        <v>0.0005178082192</v>
      </c>
      <c r="D1831" s="8">
        <v>5870.62</v>
      </c>
      <c r="E1831" s="8">
        <f t="shared" si="17"/>
        <v>0</v>
      </c>
      <c r="F1831" s="53">
        <v>4.944505943</v>
      </c>
      <c r="G1831" s="8">
        <f t="shared" si="16"/>
        <v>0.0001354659162</v>
      </c>
      <c r="H1831" s="8">
        <f t="shared" si="11"/>
        <v>5870.62</v>
      </c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</row>
    <row r="1832">
      <c r="A1832" s="54">
        <f t="shared" si="12"/>
        <v>45613</v>
      </c>
      <c r="B1832" s="8">
        <f t="shared" si="13"/>
        <v>1066000683</v>
      </c>
      <c r="C1832" s="8">
        <f t="shared" si="14"/>
        <v>0.0005178082192</v>
      </c>
      <c r="D1832" s="8">
        <v>5870.62</v>
      </c>
      <c r="E1832" s="8">
        <f t="shared" si="17"/>
        <v>0</v>
      </c>
      <c r="F1832" s="53">
        <v>4.923994329</v>
      </c>
      <c r="G1832" s="8">
        <f t="shared" si="16"/>
        <v>0.0001349039542</v>
      </c>
      <c r="H1832" s="8">
        <f t="shared" si="11"/>
        <v>5870.62</v>
      </c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</row>
    <row r="1833">
      <c r="A1833" s="54">
        <f t="shared" si="12"/>
        <v>45614</v>
      </c>
      <c r="B1833" s="8">
        <f t="shared" si="13"/>
        <v>1066552667</v>
      </c>
      <c r="C1833" s="8">
        <f t="shared" si="14"/>
        <v>0.0005178082192</v>
      </c>
      <c r="D1833" s="8">
        <v>5893.62</v>
      </c>
      <c r="E1833" s="8">
        <f t="shared" si="17"/>
        <v>0.003917814473</v>
      </c>
      <c r="F1833" s="53">
        <v>4.926279345</v>
      </c>
      <c r="G1833" s="8">
        <f t="shared" si="16"/>
        <v>0.0001349665574</v>
      </c>
      <c r="H1833" s="8">
        <f t="shared" si="11"/>
        <v>5893.62</v>
      </c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</row>
    <row r="1834">
      <c r="A1834" s="54">
        <f t="shared" si="12"/>
        <v>45615</v>
      </c>
      <c r="B1834" s="8">
        <f t="shared" si="13"/>
        <v>1067104937</v>
      </c>
      <c r="C1834" s="8">
        <f t="shared" si="14"/>
        <v>0.0005178082192</v>
      </c>
      <c r="D1834" s="8">
        <v>5916.98</v>
      </c>
      <c r="E1834" s="8">
        <f t="shared" si="17"/>
        <v>0.003963608105</v>
      </c>
      <c r="F1834" s="53">
        <v>4.887437219</v>
      </c>
      <c r="G1834" s="8">
        <f t="shared" si="16"/>
        <v>0.0001339023896</v>
      </c>
      <c r="H1834" s="8">
        <f t="shared" si="11"/>
        <v>5916.98</v>
      </c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</row>
    <row r="1835">
      <c r="A1835" s="54">
        <f t="shared" si="12"/>
        <v>45616</v>
      </c>
      <c r="B1835" s="8">
        <f t="shared" si="13"/>
        <v>1067657493</v>
      </c>
      <c r="C1835" s="8">
        <f t="shared" si="14"/>
        <v>0.0005178082192</v>
      </c>
      <c r="D1835" s="8">
        <v>5917.11</v>
      </c>
      <c r="E1835" s="8">
        <f t="shared" si="17"/>
        <v>0.00002197066747</v>
      </c>
      <c r="F1835" s="53">
        <v>4.891543109</v>
      </c>
      <c r="G1835" s="8">
        <f t="shared" si="16"/>
        <v>0.0001340148797</v>
      </c>
      <c r="H1835" s="8">
        <f t="shared" si="11"/>
        <v>5917.11</v>
      </c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</row>
    <row r="1836">
      <c r="A1836" s="54">
        <f t="shared" si="12"/>
        <v>45617</v>
      </c>
      <c r="B1836" s="8">
        <f t="shared" si="13"/>
        <v>1068210334</v>
      </c>
      <c r="C1836" s="8">
        <f t="shared" si="14"/>
        <v>0.0005178082192</v>
      </c>
      <c r="D1836" s="8">
        <v>5948.71</v>
      </c>
      <c r="E1836" s="8">
        <f t="shared" si="17"/>
        <v>0.005340444913</v>
      </c>
      <c r="F1836" s="53">
        <v>4.918265831</v>
      </c>
      <c r="G1836" s="8">
        <f t="shared" si="16"/>
        <v>0.0001347470091</v>
      </c>
      <c r="H1836" s="8">
        <f t="shared" si="11"/>
        <v>5948.71</v>
      </c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</row>
    <row r="1837">
      <c r="A1837" s="54">
        <f t="shared" si="12"/>
        <v>45618</v>
      </c>
      <c r="B1837" s="8">
        <f t="shared" si="13"/>
        <v>1068763463</v>
      </c>
      <c r="C1837" s="8">
        <f t="shared" si="14"/>
        <v>0.0005178082192</v>
      </c>
      <c r="D1837" s="8">
        <v>5969.34</v>
      </c>
      <c r="E1837" s="8">
        <f t="shared" si="17"/>
        <v>0.003467978772</v>
      </c>
      <c r="F1837" s="53">
        <v>4.856184891</v>
      </c>
      <c r="G1837" s="8">
        <f t="shared" si="16"/>
        <v>0.0001330461614</v>
      </c>
      <c r="H1837" s="8">
        <f t="shared" si="11"/>
        <v>5969.34</v>
      </c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</row>
    <row r="1838">
      <c r="A1838" s="54">
        <f t="shared" si="12"/>
        <v>45619</v>
      </c>
      <c r="B1838" s="8">
        <f t="shared" si="13"/>
        <v>1069316877</v>
      </c>
      <c r="C1838" s="8">
        <f t="shared" si="14"/>
        <v>0.0005178082192</v>
      </c>
      <c r="D1838" s="8">
        <v>5969.34</v>
      </c>
      <c r="E1838" s="8">
        <f t="shared" si="17"/>
        <v>0</v>
      </c>
      <c r="F1838" s="53">
        <v>4.963302615</v>
      </c>
      <c r="G1838" s="8">
        <f t="shared" si="16"/>
        <v>0.0001359808936</v>
      </c>
      <c r="H1838" s="8">
        <f t="shared" si="11"/>
        <v>5969.34</v>
      </c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</row>
    <row r="1839">
      <c r="A1839" s="54">
        <f t="shared" si="12"/>
        <v>45620</v>
      </c>
      <c r="B1839" s="8">
        <f t="shared" si="13"/>
        <v>1069870578</v>
      </c>
      <c r="C1839" s="8">
        <f t="shared" si="14"/>
        <v>0.0005178082192</v>
      </c>
      <c r="D1839" s="8">
        <v>5969.34</v>
      </c>
      <c r="E1839" s="8">
        <f t="shared" si="17"/>
        <v>0</v>
      </c>
      <c r="F1839" s="53">
        <v>4.888469851</v>
      </c>
      <c r="G1839" s="8">
        <f t="shared" si="16"/>
        <v>0.0001339306808</v>
      </c>
      <c r="H1839" s="8">
        <f t="shared" si="11"/>
        <v>5969.34</v>
      </c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</row>
    <row r="1840">
      <c r="A1840" s="54">
        <f t="shared" si="12"/>
        <v>45621</v>
      </c>
      <c r="B1840" s="8">
        <f t="shared" si="13"/>
        <v>1070424566</v>
      </c>
      <c r="C1840" s="8">
        <f t="shared" si="14"/>
        <v>0.0005178082192</v>
      </c>
      <c r="D1840" s="8">
        <v>5987.37</v>
      </c>
      <c r="E1840" s="8">
        <f t="shared" si="17"/>
        <v>0.00302043442</v>
      </c>
      <c r="F1840" s="53">
        <v>4.837404758</v>
      </c>
      <c r="G1840" s="8">
        <f t="shared" si="16"/>
        <v>0.0001325316372</v>
      </c>
      <c r="H1840" s="8">
        <f t="shared" si="11"/>
        <v>5987.37</v>
      </c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</row>
    <row r="1841">
      <c r="A1841" s="54">
        <f t="shared" si="12"/>
        <v>45622</v>
      </c>
      <c r="B1841" s="8">
        <f t="shared" si="13"/>
        <v>1070978841</v>
      </c>
      <c r="C1841" s="8">
        <f t="shared" si="14"/>
        <v>0.0005178082192</v>
      </c>
      <c r="D1841" s="8">
        <v>6021.63</v>
      </c>
      <c r="E1841" s="8">
        <f t="shared" si="17"/>
        <v>0.005722044905</v>
      </c>
      <c r="F1841" s="53">
        <v>4.815774834</v>
      </c>
      <c r="G1841" s="8">
        <f t="shared" si="16"/>
        <v>0.0001319390365</v>
      </c>
      <c r="H1841" s="8">
        <f t="shared" si="11"/>
        <v>6021.63</v>
      </c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</row>
    <row r="1842">
      <c r="A1842" s="54">
        <f t="shared" si="12"/>
        <v>45623</v>
      </c>
      <c r="B1842" s="8">
        <f t="shared" si="13"/>
        <v>1071533402</v>
      </c>
      <c r="C1842" s="8">
        <f t="shared" si="14"/>
        <v>0.0005178082192</v>
      </c>
      <c r="D1842" s="8">
        <v>5998.74</v>
      </c>
      <c r="E1842" s="8">
        <f t="shared" si="17"/>
        <v>-0.003801296327</v>
      </c>
      <c r="F1842" s="53">
        <v>4.910166948</v>
      </c>
      <c r="G1842" s="8">
        <f t="shared" si="16"/>
        <v>0.0001345251219</v>
      </c>
      <c r="H1842" s="8">
        <f t="shared" si="11"/>
        <v>5998.74</v>
      </c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</row>
    <row r="1843">
      <c r="A1843" s="54">
        <f t="shared" si="12"/>
        <v>45624</v>
      </c>
      <c r="B1843" s="8">
        <f t="shared" si="13"/>
        <v>1072088251</v>
      </c>
      <c r="C1843" s="8">
        <f t="shared" si="14"/>
        <v>0.0005178082192</v>
      </c>
      <c r="D1843" s="8">
        <v>5998.74</v>
      </c>
      <c r="E1843" s="8">
        <f t="shared" si="17"/>
        <v>0</v>
      </c>
      <c r="F1843" s="53">
        <v>4.980618591</v>
      </c>
      <c r="G1843" s="8">
        <f t="shared" si="16"/>
        <v>0.0001364553039</v>
      </c>
      <c r="H1843" s="8">
        <f t="shared" si="11"/>
        <v>5998.74</v>
      </c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</row>
    <row r="1844">
      <c r="A1844" s="54">
        <f t="shared" si="12"/>
        <v>45625</v>
      </c>
      <c r="B1844" s="8">
        <f t="shared" si="13"/>
        <v>1072643387</v>
      </c>
      <c r="C1844" s="8">
        <f t="shared" si="14"/>
        <v>0.0005178082192</v>
      </c>
      <c r="D1844" s="8">
        <v>6032.38</v>
      </c>
      <c r="E1844" s="8">
        <f t="shared" si="17"/>
        <v>0.005607844314</v>
      </c>
      <c r="F1844" s="53">
        <v>4.939476952</v>
      </c>
      <c r="G1844" s="8">
        <f t="shared" si="16"/>
        <v>0.0001353281357</v>
      </c>
      <c r="H1844" s="8">
        <f t="shared" si="11"/>
        <v>6032.38</v>
      </c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</row>
    <row r="1845">
      <c r="A1845" s="54">
        <f t="shared" si="12"/>
        <v>45626</v>
      </c>
      <c r="B1845" s="8">
        <f t="shared" si="13"/>
        <v>1073198811</v>
      </c>
      <c r="C1845" s="8">
        <f t="shared" si="14"/>
        <v>0.0005178082192</v>
      </c>
      <c r="D1845" s="8">
        <v>6032.38</v>
      </c>
      <c r="E1845" s="8">
        <f t="shared" si="17"/>
        <v>0</v>
      </c>
      <c r="F1845" s="53">
        <v>4.899069463</v>
      </c>
      <c r="G1845" s="8">
        <f t="shared" si="16"/>
        <v>0.0001342210812</v>
      </c>
      <c r="H1845" s="8">
        <f t="shared" si="11"/>
        <v>6032.38</v>
      </c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</row>
    <row r="1846">
      <c r="A1846" s="54">
        <f t="shared" si="12"/>
        <v>45627</v>
      </c>
      <c r="B1846" s="8">
        <f t="shared" si="13"/>
        <v>1073754522</v>
      </c>
      <c r="C1846" s="8">
        <f t="shared" si="14"/>
        <v>0.0005178082192</v>
      </c>
      <c r="D1846" s="8">
        <v>6032.38</v>
      </c>
      <c r="E1846" s="8">
        <f t="shared" si="17"/>
        <v>0</v>
      </c>
      <c r="F1846" s="53">
        <v>4.925903398</v>
      </c>
      <c r="G1846" s="8">
        <f t="shared" si="16"/>
        <v>0.0001349562575</v>
      </c>
      <c r="H1846" s="8">
        <f t="shared" si="11"/>
        <v>6032.38</v>
      </c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</row>
    <row r="1847">
      <c r="A1847" s="54">
        <f t="shared" si="12"/>
        <v>45628</v>
      </c>
      <c r="B1847" s="8">
        <f t="shared" si="13"/>
        <v>1074310521</v>
      </c>
      <c r="C1847" s="8">
        <f t="shared" si="14"/>
        <v>0.0005178082192</v>
      </c>
      <c r="D1847" s="8">
        <v>6047.15</v>
      </c>
      <c r="E1847" s="8">
        <f t="shared" si="17"/>
        <v>0.002448453181</v>
      </c>
      <c r="F1847" s="53">
        <v>4.898434741</v>
      </c>
      <c r="G1847" s="8">
        <f t="shared" si="16"/>
        <v>0.0001342036915</v>
      </c>
      <c r="H1847" s="8">
        <f t="shared" si="11"/>
        <v>6047.15</v>
      </c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</row>
    <row r="1848">
      <c r="A1848" s="54">
        <f t="shared" si="12"/>
        <v>45629</v>
      </c>
      <c r="B1848" s="8">
        <f t="shared" si="13"/>
        <v>1074866808</v>
      </c>
      <c r="C1848" s="8">
        <f t="shared" si="14"/>
        <v>0.0005178082192</v>
      </c>
      <c r="D1848" s="8">
        <v>6049.88</v>
      </c>
      <c r="E1848" s="8">
        <f t="shared" si="17"/>
        <v>0.0004514523371</v>
      </c>
      <c r="F1848" s="53">
        <v>4.96883118</v>
      </c>
      <c r="G1848" s="8">
        <f t="shared" si="16"/>
        <v>0.0001361323611</v>
      </c>
      <c r="H1848" s="8">
        <f t="shared" si="11"/>
        <v>6049.88</v>
      </c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</row>
    <row r="1849">
      <c r="A1849" s="54">
        <f t="shared" si="12"/>
        <v>45630</v>
      </c>
      <c r="B1849" s="8">
        <f t="shared" si="13"/>
        <v>1075423382</v>
      </c>
      <c r="C1849" s="8">
        <f t="shared" si="14"/>
        <v>0.0005178082192</v>
      </c>
      <c r="D1849" s="8">
        <v>6086.49</v>
      </c>
      <c r="E1849" s="8">
        <f t="shared" si="17"/>
        <v>0.006051359696</v>
      </c>
      <c r="F1849" s="53">
        <v>4.880665908</v>
      </c>
      <c r="G1849" s="8">
        <f t="shared" si="16"/>
        <v>0.0001337168742</v>
      </c>
      <c r="H1849" s="8">
        <f t="shared" si="11"/>
        <v>6086.49</v>
      </c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</row>
    <row r="1850">
      <c r="A1850" s="54">
        <f t="shared" si="12"/>
        <v>45631</v>
      </c>
      <c r="B1850" s="8">
        <f t="shared" si="13"/>
        <v>1075980246</v>
      </c>
      <c r="C1850" s="8">
        <f t="shared" si="14"/>
        <v>0.0005178082192</v>
      </c>
      <c r="D1850" s="8">
        <v>6075.11</v>
      </c>
      <c r="E1850" s="8">
        <f t="shared" si="17"/>
        <v>-0.001869714729</v>
      </c>
      <c r="F1850" s="53">
        <v>4.827658522</v>
      </c>
      <c r="G1850" s="8">
        <f t="shared" si="16"/>
        <v>0.000132264617</v>
      </c>
      <c r="H1850" s="8">
        <f t="shared" si="11"/>
        <v>6075.11</v>
      </c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</row>
    <row r="1851">
      <c r="A1851" s="54">
        <f t="shared" si="12"/>
        <v>45632</v>
      </c>
      <c r="B1851" s="8">
        <f t="shared" si="13"/>
        <v>1076537397</v>
      </c>
      <c r="C1851" s="8">
        <f t="shared" si="14"/>
        <v>0.0005178082192</v>
      </c>
      <c r="D1851" s="8">
        <v>6090.27</v>
      </c>
      <c r="E1851" s="8">
        <f t="shared" si="17"/>
        <v>0.002495428066</v>
      </c>
      <c r="F1851" s="53">
        <v>4.954518445</v>
      </c>
      <c r="G1851" s="8">
        <f t="shared" si="16"/>
        <v>0.0001357402314</v>
      </c>
      <c r="H1851" s="8">
        <f t="shared" si="11"/>
        <v>6090.27</v>
      </c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</row>
    <row r="1852">
      <c r="A1852" s="54">
        <f t="shared" si="12"/>
        <v>45633</v>
      </c>
      <c r="B1852" s="8">
        <f t="shared" si="13"/>
        <v>1077094837</v>
      </c>
      <c r="C1852" s="8">
        <f t="shared" si="14"/>
        <v>0.0005178082192</v>
      </c>
      <c r="D1852" s="8">
        <v>6090.27</v>
      </c>
      <c r="E1852" s="8">
        <f t="shared" si="17"/>
        <v>0</v>
      </c>
      <c r="F1852" s="53">
        <v>4.875073833</v>
      </c>
      <c r="G1852" s="8">
        <f t="shared" si="16"/>
        <v>0.0001335636667</v>
      </c>
      <c r="H1852" s="8">
        <f t="shared" si="11"/>
        <v>6090.27</v>
      </c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</row>
    <row r="1853">
      <c r="A1853" s="54">
        <f t="shared" si="12"/>
        <v>45634</v>
      </c>
      <c r="B1853" s="8">
        <f t="shared" si="13"/>
        <v>1077652565</v>
      </c>
      <c r="C1853" s="8">
        <f t="shared" si="14"/>
        <v>0.0005178082192</v>
      </c>
      <c r="D1853" s="8">
        <v>6090.27</v>
      </c>
      <c r="E1853" s="8">
        <f t="shared" si="17"/>
        <v>0</v>
      </c>
      <c r="F1853" s="53">
        <v>4.886444276</v>
      </c>
      <c r="G1853" s="8">
        <f t="shared" si="16"/>
        <v>0.0001338751856</v>
      </c>
      <c r="H1853" s="8">
        <f t="shared" si="11"/>
        <v>6090.27</v>
      </c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</row>
    <row r="1854">
      <c r="A1854" s="54">
        <f t="shared" si="12"/>
        <v>45635</v>
      </c>
      <c r="B1854" s="8">
        <f t="shared" si="13"/>
        <v>1078210583</v>
      </c>
      <c r="C1854" s="8">
        <f t="shared" si="14"/>
        <v>0.0005178082192</v>
      </c>
      <c r="D1854" s="8">
        <v>6052.85</v>
      </c>
      <c r="E1854" s="8">
        <f t="shared" si="17"/>
        <v>-0.006144226775</v>
      </c>
      <c r="F1854" s="53">
        <v>4.879606507</v>
      </c>
      <c r="G1854" s="8">
        <f t="shared" si="16"/>
        <v>0.0001336878495</v>
      </c>
      <c r="H1854" s="8">
        <f t="shared" si="11"/>
        <v>6052.85</v>
      </c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</row>
    <row r="1855">
      <c r="A1855" s="54">
        <f t="shared" si="12"/>
        <v>45636</v>
      </c>
      <c r="B1855" s="8">
        <f t="shared" si="13"/>
        <v>1078768889</v>
      </c>
      <c r="C1855" s="8">
        <f t="shared" si="14"/>
        <v>0.0005178082192</v>
      </c>
      <c r="D1855" s="8">
        <v>6034.91</v>
      </c>
      <c r="E1855" s="8">
        <f t="shared" si="17"/>
        <v>-0.002963893042</v>
      </c>
      <c r="F1855" s="53">
        <v>4.819514631</v>
      </c>
      <c r="G1855" s="8">
        <f t="shared" si="16"/>
        <v>0.0001320414967</v>
      </c>
      <c r="H1855" s="8">
        <f t="shared" si="11"/>
        <v>6034.91</v>
      </c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</row>
    <row r="1856">
      <c r="A1856" s="54">
        <f t="shared" si="12"/>
        <v>45637</v>
      </c>
      <c r="B1856" s="8">
        <f t="shared" si="13"/>
        <v>1079327484</v>
      </c>
      <c r="C1856" s="8">
        <f t="shared" si="14"/>
        <v>0.0005178082192</v>
      </c>
      <c r="D1856" s="8">
        <v>6084.19</v>
      </c>
      <c r="E1856" s="8">
        <f t="shared" si="17"/>
        <v>0.00816582186</v>
      </c>
      <c r="F1856" s="53">
        <v>4.90757273</v>
      </c>
      <c r="G1856" s="8">
        <f t="shared" si="16"/>
        <v>0.0001344540474</v>
      </c>
      <c r="H1856" s="8">
        <f t="shared" si="11"/>
        <v>6084.19</v>
      </c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</row>
    <row r="1857">
      <c r="A1857" s="54">
        <f t="shared" si="12"/>
        <v>45638</v>
      </c>
      <c r="B1857" s="8">
        <f t="shared" si="13"/>
        <v>1079886369</v>
      </c>
      <c r="C1857" s="8">
        <f t="shared" si="14"/>
        <v>0.0005178082192</v>
      </c>
      <c r="D1857" s="8">
        <v>6051.25</v>
      </c>
      <c r="E1857" s="8">
        <f t="shared" si="17"/>
        <v>-0.005414032106</v>
      </c>
      <c r="F1857" s="53">
        <v>4.855909395</v>
      </c>
      <c r="G1857" s="8">
        <f t="shared" si="16"/>
        <v>0.0001330386136</v>
      </c>
      <c r="H1857" s="8">
        <f t="shared" si="11"/>
        <v>6051.25</v>
      </c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</row>
    <row r="1858">
      <c r="A1858" s="54">
        <f t="shared" si="12"/>
        <v>45639</v>
      </c>
      <c r="B1858" s="8">
        <f t="shared" si="13"/>
        <v>1080445543</v>
      </c>
      <c r="C1858" s="8">
        <f t="shared" si="14"/>
        <v>0.0005178082192</v>
      </c>
      <c r="D1858" s="8">
        <v>6051.09</v>
      </c>
      <c r="E1858" s="8">
        <f t="shared" si="17"/>
        <v>-0.00002644081801</v>
      </c>
      <c r="F1858" s="53">
        <v>4.957517584</v>
      </c>
      <c r="G1858" s="8">
        <f t="shared" si="16"/>
        <v>0.0001358223996</v>
      </c>
      <c r="H1858" s="8">
        <f t="shared" si="11"/>
        <v>6051.09</v>
      </c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</row>
    <row r="1859">
      <c r="A1859" s="54">
        <f t="shared" si="12"/>
        <v>45640</v>
      </c>
      <c r="B1859" s="8">
        <f t="shared" si="13"/>
        <v>1081005007</v>
      </c>
      <c r="C1859" s="8">
        <f t="shared" si="14"/>
        <v>0.0005178082192</v>
      </c>
      <c r="D1859" s="8">
        <v>6051.09</v>
      </c>
      <c r="E1859" s="8">
        <f t="shared" si="17"/>
        <v>0</v>
      </c>
      <c r="F1859" s="53">
        <v>4.888014924</v>
      </c>
      <c r="G1859" s="8">
        <f t="shared" si="16"/>
        <v>0.0001339182171</v>
      </c>
      <c r="H1859" s="8">
        <f t="shared" si="11"/>
        <v>6051.09</v>
      </c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</row>
    <row r="1860">
      <c r="A1860" s="54">
        <f t="shared" si="12"/>
        <v>45641</v>
      </c>
      <c r="B1860" s="8">
        <f t="shared" si="13"/>
        <v>1081564760</v>
      </c>
      <c r="C1860" s="8">
        <f t="shared" si="14"/>
        <v>0.0005178082192</v>
      </c>
      <c r="D1860" s="8">
        <v>6051.09</v>
      </c>
      <c r="E1860" s="8">
        <f t="shared" si="17"/>
        <v>0</v>
      </c>
      <c r="F1860" s="53">
        <v>4.925456759</v>
      </c>
      <c r="G1860" s="8">
        <f t="shared" si="16"/>
        <v>0.0001349440208</v>
      </c>
      <c r="H1860" s="8">
        <f t="shared" si="11"/>
        <v>6051.09</v>
      </c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</row>
    <row r="1861">
      <c r="A1861" s="54">
        <f t="shared" si="12"/>
        <v>45642</v>
      </c>
      <c r="B1861" s="8">
        <f t="shared" si="13"/>
        <v>1082124803</v>
      </c>
      <c r="C1861" s="8">
        <f t="shared" si="14"/>
        <v>0.0005178082192</v>
      </c>
      <c r="D1861" s="8">
        <v>6074.08</v>
      </c>
      <c r="E1861" s="8">
        <f t="shared" si="17"/>
        <v>0.003799315495</v>
      </c>
      <c r="F1861" s="53">
        <v>4.844561616</v>
      </c>
      <c r="G1861" s="8">
        <f t="shared" si="16"/>
        <v>0.0001327277155</v>
      </c>
      <c r="H1861" s="8">
        <f t="shared" si="11"/>
        <v>6074.08</v>
      </c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</row>
    <row r="1862">
      <c r="A1862" s="54">
        <f t="shared" si="12"/>
        <v>45643</v>
      </c>
      <c r="B1862" s="8">
        <f t="shared" si="13"/>
        <v>1082685136</v>
      </c>
      <c r="C1862" s="8">
        <f t="shared" si="14"/>
        <v>0.0005178082192</v>
      </c>
      <c r="D1862" s="8">
        <v>6050.61</v>
      </c>
      <c r="E1862" s="8">
        <f t="shared" si="17"/>
        <v>-0.003863959645</v>
      </c>
      <c r="F1862" s="53">
        <v>4.938566945</v>
      </c>
      <c r="G1862" s="8">
        <f t="shared" si="16"/>
        <v>0.000135303204</v>
      </c>
      <c r="H1862" s="8">
        <f t="shared" si="11"/>
        <v>6050.61</v>
      </c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</row>
    <row r="1863">
      <c r="A1863" s="54">
        <f t="shared" si="12"/>
        <v>45644</v>
      </c>
      <c r="B1863" s="8">
        <f t="shared" si="13"/>
        <v>1083245759</v>
      </c>
      <c r="C1863" s="8">
        <f t="shared" si="14"/>
        <v>0.0005178082192</v>
      </c>
      <c r="D1863" s="8">
        <v>5872.16</v>
      </c>
      <c r="E1863" s="8">
        <f t="shared" si="17"/>
        <v>-0.0294928941</v>
      </c>
      <c r="F1863" s="53">
        <v>4.970589554</v>
      </c>
      <c r="G1863" s="8">
        <f t="shared" si="16"/>
        <v>0.0001361805357</v>
      </c>
      <c r="H1863" s="8">
        <f t="shared" si="11"/>
        <v>5872.16</v>
      </c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</row>
    <row r="1864">
      <c r="A1864" s="54">
        <f t="shared" si="12"/>
        <v>45645</v>
      </c>
      <c r="B1864" s="8">
        <f t="shared" si="13"/>
        <v>1083806673</v>
      </c>
      <c r="C1864" s="8">
        <f t="shared" si="14"/>
        <v>0.0005178082192</v>
      </c>
      <c r="D1864" s="8">
        <v>5867.08</v>
      </c>
      <c r="E1864" s="8">
        <f t="shared" si="17"/>
        <v>-0.0008650990436</v>
      </c>
      <c r="F1864" s="53">
        <v>4.997120601</v>
      </c>
      <c r="G1864" s="8">
        <f t="shared" si="16"/>
        <v>0.0001369074137</v>
      </c>
      <c r="H1864" s="8">
        <f t="shared" si="11"/>
        <v>5867.08</v>
      </c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</row>
    <row r="1865">
      <c r="A1865" s="54">
        <f t="shared" si="12"/>
        <v>45646</v>
      </c>
      <c r="B1865" s="8">
        <f t="shared" si="13"/>
        <v>1084367877</v>
      </c>
      <c r="C1865" s="8">
        <f t="shared" si="14"/>
        <v>0.0005178082192</v>
      </c>
      <c r="D1865" s="8">
        <v>5930.85</v>
      </c>
      <c r="E1865" s="8">
        <f t="shared" si="17"/>
        <v>0.01086912058</v>
      </c>
      <c r="F1865" s="53">
        <v>4.821997747</v>
      </c>
      <c r="G1865" s="8">
        <f t="shared" si="16"/>
        <v>0.0001321095273</v>
      </c>
      <c r="H1865" s="8">
        <f t="shared" si="11"/>
        <v>5930.85</v>
      </c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</row>
    <row r="1866">
      <c r="A1866" s="54">
        <f t="shared" si="12"/>
        <v>45647</v>
      </c>
      <c r="B1866" s="8">
        <f t="shared" si="13"/>
        <v>1084929372</v>
      </c>
      <c r="C1866" s="8">
        <f t="shared" si="14"/>
        <v>0.0005178082192</v>
      </c>
      <c r="D1866" s="8">
        <v>5930.85</v>
      </c>
      <c r="E1866" s="8">
        <f t="shared" si="17"/>
        <v>0</v>
      </c>
      <c r="F1866" s="53">
        <v>4.937585373</v>
      </c>
      <c r="G1866" s="8">
        <f t="shared" si="16"/>
        <v>0.0001352763116</v>
      </c>
      <c r="H1866" s="8">
        <f t="shared" si="11"/>
        <v>5930.85</v>
      </c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</row>
    <row r="1867">
      <c r="A1867" s="54">
        <f t="shared" si="12"/>
        <v>45648</v>
      </c>
      <c r="B1867" s="8">
        <f t="shared" si="13"/>
        <v>1085491157</v>
      </c>
      <c r="C1867" s="8">
        <f t="shared" si="14"/>
        <v>0.0005178082192</v>
      </c>
      <c r="D1867" s="8">
        <v>5930.85</v>
      </c>
      <c r="E1867" s="8">
        <f t="shared" si="17"/>
        <v>0</v>
      </c>
      <c r="F1867" s="53">
        <v>4.884600406</v>
      </c>
      <c r="G1867" s="8">
        <f t="shared" si="16"/>
        <v>0.0001338246687</v>
      </c>
      <c r="H1867" s="8">
        <f t="shared" si="11"/>
        <v>5930.85</v>
      </c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</row>
    <row r="1868">
      <c r="A1868" s="54">
        <f t="shared" si="12"/>
        <v>45649</v>
      </c>
      <c r="B1868" s="8">
        <f t="shared" si="13"/>
        <v>1086053233</v>
      </c>
      <c r="C1868" s="8">
        <f t="shared" si="14"/>
        <v>0.0005178082192</v>
      </c>
      <c r="D1868" s="8">
        <v>5974.07</v>
      </c>
      <c r="E1868" s="8">
        <f t="shared" si="17"/>
        <v>0.007287319693</v>
      </c>
      <c r="F1868" s="53">
        <v>4.862523247</v>
      </c>
      <c r="G1868" s="8">
        <f t="shared" si="16"/>
        <v>0.000133219815</v>
      </c>
      <c r="H1868" s="8">
        <f t="shared" si="11"/>
        <v>5974.07</v>
      </c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</row>
    <row r="1869">
      <c r="A1869" s="54">
        <f t="shared" si="12"/>
        <v>45650</v>
      </c>
      <c r="B1869" s="8">
        <f t="shared" si="13"/>
        <v>1086615601</v>
      </c>
      <c r="C1869" s="8">
        <f t="shared" si="14"/>
        <v>0.0005178082192</v>
      </c>
      <c r="D1869" s="8">
        <v>6040.04</v>
      </c>
      <c r="E1869" s="8">
        <f t="shared" si="17"/>
        <v>0.01104272297</v>
      </c>
      <c r="F1869" s="53">
        <v>4.908258033</v>
      </c>
      <c r="G1869" s="8">
        <f t="shared" si="16"/>
        <v>0.0001344728228</v>
      </c>
      <c r="H1869" s="8">
        <f t="shared" si="11"/>
        <v>6040.04</v>
      </c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</row>
    <row r="1870">
      <c r="A1870" s="54">
        <f t="shared" si="12"/>
        <v>45651</v>
      </c>
      <c r="B1870" s="8">
        <f t="shared" si="13"/>
        <v>1087178259</v>
      </c>
      <c r="C1870" s="8">
        <f t="shared" si="14"/>
        <v>0.0005178082192</v>
      </c>
      <c r="D1870" s="8">
        <v>6040.04</v>
      </c>
      <c r="E1870" s="8">
        <f t="shared" si="17"/>
        <v>0</v>
      </c>
      <c r="F1870" s="53">
        <v>4.956062193</v>
      </c>
      <c r="G1870" s="8">
        <f t="shared" si="16"/>
        <v>0.0001357825258</v>
      </c>
      <c r="H1870" s="8">
        <f t="shared" si="11"/>
        <v>6040.04</v>
      </c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</row>
    <row r="1871">
      <c r="A1871" s="54">
        <f t="shared" si="12"/>
        <v>45652</v>
      </c>
      <c r="B1871" s="8">
        <f t="shared" si="13"/>
        <v>1087741209</v>
      </c>
      <c r="C1871" s="8">
        <f t="shared" si="14"/>
        <v>0.0005178082192</v>
      </c>
      <c r="D1871" s="8">
        <v>6037.59</v>
      </c>
      <c r="E1871" s="8">
        <f t="shared" si="17"/>
        <v>-0.0004056264528</v>
      </c>
      <c r="F1871" s="53">
        <v>4.830144624</v>
      </c>
      <c r="G1871" s="8">
        <f t="shared" si="16"/>
        <v>0.0001323327294</v>
      </c>
      <c r="H1871" s="8">
        <f t="shared" si="11"/>
        <v>6037.59</v>
      </c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</row>
    <row r="1872">
      <c r="A1872" s="54">
        <f t="shared" si="12"/>
        <v>45653</v>
      </c>
      <c r="B1872" s="8">
        <f t="shared" si="13"/>
        <v>1088304450</v>
      </c>
      <c r="C1872" s="8">
        <f t="shared" si="14"/>
        <v>0.0005178082192</v>
      </c>
      <c r="D1872" s="8">
        <v>5970.84</v>
      </c>
      <c r="E1872" s="8">
        <f t="shared" si="17"/>
        <v>-0.01105573582</v>
      </c>
      <c r="F1872" s="53">
        <v>4.790145985</v>
      </c>
      <c r="G1872" s="8">
        <f t="shared" si="16"/>
        <v>0.0001312368763</v>
      </c>
      <c r="H1872" s="8">
        <f t="shared" si="11"/>
        <v>5970.84</v>
      </c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</row>
    <row r="1873">
      <c r="A1873" s="54">
        <f t="shared" si="12"/>
        <v>45654</v>
      </c>
      <c r="B1873" s="8">
        <f t="shared" si="13"/>
        <v>1088867983</v>
      </c>
      <c r="C1873" s="8">
        <f t="shared" si="14"/>
        <v>0.0005178082192</v>
      </c>
      <c r="D1873" s="8">
        <v>5970.84</v>
      </c>
      <c r="E1873" s="8">
        <f t="shared" si="17"/>
        <v>0</v>
      </c>
      <c r="F1873" s="53">
        <v>4.901005181</v>
      </c>
      <c r="G1873" s="8">
        <f t="shared" si="16"/>
        <v>0.0001342741145</v>
      </c>
      <c r="H1873" s="8">
        <f t="shared" si="11"/>
        <v>5970.84</v>
      </c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</row>
    <row r="1874">
      <c r="A1874" s="54">
        <f t="shared" si="12"/>
        <v>45655</v>
      </c>
      <c r="B1874" s="8">
        <f t="shared" si="13"/>
        <v>1089431808</v>
      </c>
      <c r="C1874" s="8">
        <f t="shared" si="14"/>
        <v>0.0005178082192</v>
      </c>
      <c r="D1874" s="8">
        <v>5970.84</v>
      </c>
      <c r="E1874" s="8">
        <f t="shared" si="17"/>
        <v>0</v>
      </c>
      <c r="F1874" s="53">
        <v>4.917660175</v>
      </c>
      <c r="G1874" s="8">
        <f t="shared" si="16"/>
        <v>0.0001347304158</v>
      </c>
      <c r="H1874" s="8">
        <f t="shared" si="11"/>
        <v>5970.84</v>
      </c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</row>
    <row r="1875">
      <c r="A1875" s="54">
        <f t="shared" si="12"/>
        <v>45656</v>
      </c>
      <c r="B1875" s="8">
        <f t="shared" si="13"/>
        <v>1089995925</v>
      </c>
      <c r="C1875" s="8">
        <f t="shared" si="14"/>
        <v>0.0005178082192</v>
      </c>
      <c r="D1875" s="8">
        <v>5906.94</v>
      </c>
      <c r="E1875" s="8">
        <f t="shared" si="17"/>
        <v>-0.01070201178</v>
      </c>
      <c r="F1875" s="53">
        <v>4.864091526</v>
      </c>
      <c r="G1875" s="8">
        <f t="shared" si="16"/>
        <v>0.0001332627815</v>
      </c>
      <c r="H1875" s="8">
        <f t="shared" si="11"/>
        <v>5906.94</v>
      </c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</row>
    <row r="1876">
      <c r="A1876" s="54">
        <f t="shared" si="12"/>
        <v>45657</v>
      </c>
      <c r="B1876" s="8">
        <f t="shared" si="13"/>
        <v>1090560334</v>
      </c>
      <c r="C1876" s="8">
        <f t="shared" si="14"/>
        <v>0.0005178082192</v>
      </c>
      <c r="D1876" s="8">
        <v>5906.94</v>
      </c>
      <c r="E1876" s="8">
        <f t="shared" si="17"/>
        <v>0</v>
      </c>
      <c r="F1876" s="53">
        <v>4.988249874</v>
      </c>
      <c r="G1876" s="8">
        <f t="shared" si="16"/>
        <v>0.0001366643801</v>
      </c>
      <c r="H1876" s="8">
        <f t="shared" si="11"/>
        <v>5906.94</v>
      </c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</row>
    <row r="1877">
      <c r="A1877" s="8"/>
      <c r="B1877" s="8"/>
      <c r="C1877" s="8"/>
      <c r="D1877" s="8"/>
      <c r="E1877" s="8"/>
      <c r="F1877" s="53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</row>
    <row r="1878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</row>
    <row r="1879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</row>
    <row r="1880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</row>
    <row r="1881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</row>
    <row r="1882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</row>
    <row r="1883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</row>
    <row r="1884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</row>
    <row r="188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</row>
    <row r="1886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</row>
    <row r="1887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</row>
    <row r="1888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</row>
    <row r="1889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</row>
    <row r="1890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</row>
    <row r="1891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</row>
    <row r="1892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</row>
    <row r="1893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</row>
    <row r="1894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</row>
    <row r="189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</row>
    <row r="1896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</row>
    <row r="1897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</row>
    <row r="1898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</row>
    <row r="1899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</row>
    <row r="1900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</row>
    <row r="1901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</row>
    <row r="1902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</row>
    <row r="1903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</row>
    <row r="1904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</row>
    <row r="1905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</row>
    <row r="1906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</row>
    <row r="1907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</row>
    <row r="1908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</row>
    <row r="1909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</row>
    <row r="1910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</row>
    <row r="1911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</row>
    <row r="1912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</row>
    <row r="1913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</row>
    <row r="1914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</row>
    <row r="1915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</row>
    <row r="1916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</row>
    <row r="1917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</row>
    <row r="1918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</row>
    <row r="1919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</row>
    <row r="1920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</row>
    <row r="1921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</row>
    <row r="1922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</row>
    <row r="1923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</row>
    <row r="1924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</row>
    <row r="192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</row>
    <row r="1926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</row>
    <row r="1927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</row>
    <row r="1928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</row>
    <row r="1929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</row>
    <row r="1930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</row>
    <row r="1931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</row>
    <row r="1932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</row>
    <row r="1933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</row>
    <row r="1934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</row>
    <row r="1935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</row>
    <row r="1936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</row>
    <row r="1937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</row>
    <row r="1938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</row>
    <row r="1939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</row>
    <row r="1940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</row>
    <row r="1941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</row>
    <row r="1942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</row>
    <row r="1943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</row>
    <row r="1944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</row>
    <row r="1945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</row>
    <row r="1946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</row>
    <row r="1947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</row>
    <row r="1948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</row>
    <row r="1949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</row>
    <row r="1950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</row>
    <row r="1951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</row>
    <row r="1952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</row>
    <row r="1953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</row>
    <row r="1954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</row>
    <row r="1955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</row>
    <row r="1956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</row>
    <row r="1957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</row>
    <row r="1958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</row>
    <row r="1959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</row>
    <row r="1960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</row>
    <row r="1961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</row>
    <row r="1962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</row>
    <row r="1963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</row>
    <row r="1964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</row>
    <row r="1965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</row>
    <row r="1966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</row>
    <row r="1967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</row>
    <row r="1968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</row>
    <row r="1969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</row>
    <row r="1970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</row>
    <row r="1971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</row>
    <row r="1972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</row>
    <row r="1973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</row>
    <row r="1974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</row>
    <row r="1975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</row>
    <row r="1976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</row>
    <row r="1977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</row>
    <row r="1978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</row>
    <row r="1979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</row>
    <row r="1980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</row>
    <row r="1981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</row>
    <row r="1982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</row>
    <row r="1983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</row>
    <row r="1984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</row>
    <row r="1985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</row>
    <row r="1986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</row>
    <row r="1987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</row>
    <row r="1988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</row>
    <row r="1989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</row>
    <row r="1990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</row>
    <row r="1991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</row>
    <row r="1992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</row>
    <row r="1993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</row>
    <row r="1994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</row>
    <row r="1995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</row>
    <row r="1996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</row>
    <row r="1997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</row>
    <row r="1998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</row>
    <row r="1999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</row>
    <row r="2000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</row>
  </sheetData>
  <drawing r:id="rId1"/>
</worksheet>
</file>